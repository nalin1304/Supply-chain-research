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28---Pedagogy Paper Development - ITE\02--Transportation Problem via Map\02-final submission Nov 2021\online supplement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Sheet1!$A$1:$I$102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J3" i="1" l="1"/>
  <c r="N3" i="1" s="1"/>
  <c r="K3" i="1"/>
  <c r="O3" i="1" s="1"/>
  <c r="L3" i="1"/>
  <c r="P3" i="1" s="1"/>
  <c r="M3" i="1"/>
  <c r="Q3" i="1" s="1"/>
  <c r="J4" i="1"/>
  <c r="N4" i="1" s="1"/>
  <c r="K4" i="1"/>
  <c r="O4" i="1" s="1"/>
  <c r="L4" i="1"/>
  <c r="P4" i="1" s="1"/>
  <c r="M4" i="1"/>
  <c r="Q4" i="1" s="1"/>
  <c r="J5" i="1"/>
  <c r="N5" i="1" s="1"/>
  <c r="K5" i="1"/>
  <c r="O5" i="1" s="1"/>
  <c r="L5" i="1"/>
  <c r="P5" i="1" s="1"/>
  <c r="M5" i="1"/>
  <c r="Q5" i="1" s="1"/>
  <c r="J6" i="1"/>
  <c r="N6" i="1" s="1"/>
  <c r="K6" i="1"/>
  <c r="O6" i="1" s="1"/>
  <c r="L6" i="1"/>
  <c r="P6" i="1" s="1"/>
  <c r="M6" i="1"/>
  <c r="Q6" i="1" s="1"/>
  <c r="J7" i="1"/>
  <c r="N7" i="1" s="1"/>
  <c r="K7" i="1"/>
  <c r="O7" i="1" s="1"/>
  <c r="L7" i="1"/>
  <c r="P7" i="1" s="1"/>
  <c r="M7" i="1"/>
  <c r="Q7" i="1" s="1"/>
  <c r="J8" i="1"/>
  <c r="N8" i="1" s="1"/>
  <c r="K8" i="1"/>
  <c r="O8" i="1" s="1"/>
  <c r="L8" i="1"/>
  <c r="P8" i="1" s="1"/>
  <c r="M8" i="1"/>
  <c r="Q8" i="1" s="1"/>
  <c r="J9" i="1"/>
  <c r="N9" i="1" s="1"/>
  <c r="K9" i="1"/>
  <c r="O9" i="1" s="1"/>
  <c r="L9" i="1"/>
  <c r="P9" i="1" s="1"/>
  <c r="M9" i="1"/>
  <c r="Q9" i="1" s="1"/>
  <c r="J10" i="1"/>
  <c r="N10" i="1" s="1"/>
  <c r="K10" i="1"/>
  <c r="O10" i="1" s="1"/>
  <c r="L10" i="1"/>
  <c r="P10" i="1" s="1"/>
  <c r="M10" i="1"/>
  <c r="Q10" i="1" s="1"/>
  <c r="J11" i="1"/>
  <c r="N11" i="1" s="1"/>
  <c r="K11" i="1"/>
  <c r="O11" i="1" s="1"/>
  <c r="L11" i="1"/>
  <c r="P11" i="1" s="1"/>
  <c r="M11" i="1"/>
  <c r="Q11" i="1" s="1"/>
  <c r="J12" i="1"/>
  <c r="N12" i="1" s="1"/>
  <c r="K12" i="1"/>
  <c r="O12" i="1" s="1"/>
  <c r="L12" i="1"/>
  <c r="P12" i="1" s="1"/>
  <c r="M12" i="1"/>
  <c r="Q12" i="1" s="1"/>
  <c r="J13" i="1"/>
  <c r="N13" i="1" s="1"/>
  <c r="K13" i="1"/>
  <c r="O13" i="1" s="1"/>
  <c r="L13" i="1"/>
  <c r="P13" i="1" s="1"/>
  <c r="M13" i="1"/>
  <c r="Q13" i="1" s="1"/>
  <c r="J14" i="1"/>
  <c r="N14" i="1" s="1"/>
  <c r="K14" i="1"/>
  <c r="O14" i="1" s="1"/>
  <c r="L14" i="1"/>
  <c r="P14" i="1" s="1"/>
  <c r="M14" i="1"/>
  <c r="Q14" i="1" s="1"/>
  <c r="J15" i="1"/>
  <c r="N15" i="1" s="1"/>
  <c r="K15" i="1"/>
  <c r="O15" i="1" s="1"/>
  <c r="L15" i="1"/>
  <c r="P15" i="1" s="1"/>
  <c r="M15" i="1"/>
  <c r="Q15" i="1" s="1"/>
  <c r="J16" i="1"/>
  <c r="N16" i="1" s="1"/>
  <c r="K16" i="1"/>
  <c r="O16" i="1" s="1"/>
  <c r="L16" i="1"/>
  <c r="P16" i="1" s="1"/>
  <c r="M16" i="1"/>
  <c r="Q16" i="1" s="1"/>
  <c r="J17" i="1"/>
  <c r="N17" i="1" s="1"/>
  <c r="K17" i="1"/>
  <c r="O17" i="1" s="1"/>
  <c r="L17" i="1"/>
  <c r="P17" i="1" s="1"/>
  <c r="M17" i="1"/>
  <c r="Q17" i="1" s="1"/>
  <c r="J18" i="1"/>
  <c r="N18" i="1" s="1"/>
  <c r="K18" i="1"/>
  <c r="O18" i="1" s="1"/>
  <c r="L18" i="1"/>
  <c r="P18" i="1" s="1"/>
  <c r="M18" i="1"/>
  <c r="Q18" i="1" s="1"/>
  <c r="J19" i="1"/>
  <c r="N19" i="1" s="1"/>
  <c r="K19" i="1"/>
  <c r="O19" i="1" s="1"/>
  <c r="L19" i="1"/>
  <c r="P19" i="1" s="1"/>
  <c r="M19" i="1"/>
  <c r="Q19" i="1" s="1"/>
  <c r="J20" i="1"/>
  <c r="N20" i="1" s="1"/>
  <c r="K20" i="1"/>
  <c r="O20" i="1" s="1"/>
  <c r="L20" i="1"/>
  <c r="P20" i="1" s="1"/>
  <c r="M20" i="1"/>
  <c r="Q20" i="1" s="1"/>
  <c r="J21" i="1"/>
  <c r="N21" i="1" s="1"/>
  <c r="K21" i="1"/>
  <c r="O21" i="1" s="1"/>
  <c r="L21" i="1"/>
  <c r="P21" i="1" s="1"/>
  <c r="M21" i="1"/>
  <c r="Q21" i="1" s="1"/>
  <c r="J22" i="1"/>
  <c r="N22" i="1" s="1"/>
  <c r="K22" i="1"/>
  <c r="O22" i="1" s="1"/>
  <c r="L22" i="1"/>
  <c r="P22" i="1" s="1"/>
  <c r="M22" i="1"/>
  <c r="Q22" i="1" s="1"/>
  <c r="J23" i="1"/>
  <c r="N23" i="1" s="1"/>
  <c r="K23" i="1"/>
  <c r="O23" i="1" s="1"/>
  <c r="L23" i="1"/>
  <c r="P23" i="1" s="1"/>
  <c r="M23" i="1"/>
  <c r="Q23" i="1" s="1"/>
  <c r="J24" i="1"/>
  <c r="N24" i="1" s="1"/>
  <c r="K24" i="1"/>
  <c r="O24" i="1" s="1"/>
  <c r="L24" i="1"/>
  <c r="P24" i="1" s="1"/>
  <c r="M24" i="1"/>
  <c r="Q24" i="1" s="1"/>
  <c r="J25" i="1"/>
  <c r="N25" i="1" s="1"/>
  <c r="K25" i="1"/>
  <c r="O25" i="1" s="1"/>
  <c r="L25" i="1"/>
  <c r="P25" i="1" s="1"/>
  <c r="M25" i="1"/>
  <c r="Q25" i="1" s="1"/>
  <c r="J26" i="1"/>
  <c r="N26" i="1" s="1"/>
  <c r="K26" i="1"/>
  <c r="O26" i="1" s="1"/>
  <c r="L26" i="1"/>
  <c r="P26" i="1" s="1"/>
  <c r="M26" i="1"/>
  <c r="Q26" i="1" s="1"/>
  <c r="J27" i="1"/>
  <c r="N27" i="1" s="1"/>
  <c r="K27" i="1"/>
  <c r="O27" i="1" s="1"/>
  <c r="L27" i="1"/>
  <c r="P27" i="1" s="1"/>
  <c r="M27" i="1"/>
  <c r="Q27" i="1" s="1"/>
  <c r="J28" i="1"/>
  <c r="N28" i="1" s="1"/>
  <c r="K28" i="1"/>
  <c r="O28" i="1" s="1"/>
  <c r="L28" i="1"/>
  <c r="P28" i="1" s="1"/>
  <c r="M28" i="1"/>
  <c r="Q28" i="1" s="1"/>
  <c r="J29" i="1"/>
  <c r="N29" i="1" s="1"/>
  <c r="K29" i="1"/>
  <c r="O29" i="1" s="1"/>
  <c r="L29" i="1"/>
  <c r="P29" i="1" s="1"/>
  <c r="M29" i="1"/>
  <c r="Q29" i="1" s="1"/>
  <c r="J30" i="1"/>
  <c r="N30" i="1" s="1"/>
  <c r="K30" i="1"/>
  <c r="O30" i="1" s="1"/>
  <c r="L30" i="1"/>
  <c r="P30" i="1" s="1"/>
  <c r="M30" i="1"/>
  <c r="Q30" i="1" s="1"/>
  <c r="J31" i="1"/>
  <c r="N31" i="1" s="1"/>
  <c r="K31" i="1"/>
  <c r="O31" i="1" s="1"/>
  <c r="L31" i="1"/>
  <c r="P31" i="1" s="1"/>
  <c r="M31" i="1"/>
  <c r="Q31" i="1" s="1"/>
  <c r="J32" i="1"/>
  <c r="N32" i="1" s="1"/>
  <c r="K32" i="1"/>
  <c r="O32" i="1" s="1"/>
  <c r="L32" i="1"/>
  <c r="P32" i="1" s="1"/>
  <c r="M32" i="1"/>
  <c r="Q32" i="1" s="1"/>
  <c r="J33" i="1"/>
  <c r="N33" i="1" s="1"/>
  <c r="K33" i="1"/>
  <c r="O33" i="1" s="1"/>
  <c r="L33" i="1"/>
  <c r="P33" i="1" s="1"/>
  <c r="M33" i="1"/>
  <c r="Q33" i="1" s="1"/>
  <c r="J34" i="1"/>
  <c r="N34" i="1" s="1"/>
  <c r="K34" i="1"/>
  <c r="O34" i="1" s="1"/>
  <c r="L34" i="1"/>
  <c r="P34" i="1" s="1"/>
  <c r="M34" i="1"/>
  <c r="Q34" i="1" s="1"/>
  <c r="J35" i="1"/>
  <c r="N35" i="1" s="1"/>
  <c r="K35" i="1"/>
  <c r="O35" i="1" s="1"/>
  <c r="L35" i="1"/>
  <c r="P35" i="1" s="1"/>
  <c r="M35" i="1"/>
  <c r="Q35" i="1" s="1"/>
  <c r="J36" i="1"/>
  <c r="N36" i="1" s="1"/>
  <c r="K36" i="1"/>
  <c r="O36" i="1" s="1"/>
  <c r="L36" i="1"/>
  <c r="P36" i="1" s="1"/>
  <c r="M36" i="1"/>
  <c r="Q36" i="1" s="1"/>
  <c r="J37" i="1"/>
  <c r="N37" i="1" s="1"/>
  <c r="K37" i="1"/>
  <c r="O37" i="1" s="1"/>
  <c r="L37" i="1"/>
  <c r="P37" i="1" s="1"/>
  <c r="M37" i="1"/>
  <c r="Q37" i="1" s="1"/>
  <c r="J38" i="1"/>
  <c r="N38" i="1" s="1"/>
  <c r="K38" i="1"/>
  <c r="O38" i="1" s="1"/>
  <c r="L38" i="1"/>
  <c r="P38" i="1" s="1"/>
  <c r="M38" i="1"/>
  <c r="Q38" i="1" s="1"/>
  <c r="J39" i="1"/>
  <c r="N39" i="1" s="1"/>
  <c r="K39" i="1"/>
  <c r="O39" i="1" s="1"/>
  <c r="L39" i="1"/>
  <c r="P39" i="1" s="1"/>
  <c r="M39" i="1"/>
  <c r="Q39" i="1" s="1"/>
  <c r="J40" i="1"/>
  <c r="N40" i="1" s="1"/>
  <c r="K40" i="1"/>
  <c r="O40" i="1" s="1"/>
  <c r="L40" i="1"/>
  <c r="P40" i="1" s="1"/>
  <c r="M40" i="1"/>
  <c r="Q40" i="1" s="1"/>
  <c r="J41" i="1"/>
  <c r="N41" i="1" s="1"/>
  <c r="K41" i="1"/>
  <c r="O41" i="1" s="1"/>
  <c r="L41" i="1"/>
  <c r="P41" i="1" s="1"/>
  <c r="M41" i="1"/>
  <c r="Q41" i="1" s="1"/>
  <c r="J42" i="1"/>
  <c r="N42" i="1" s="1"/>
  <c r="K42" i="1"/>
  <c r="O42" i="1" s="1"/>
  <c r="L42" i="1"/>
  <c r="P42" i="1" s="1"/>
  <c r="M42" i="1"/>
  <c r="Q42" i="1" s="1"/>
  <c r="J43" i="1"/>
  <c r="N43" i="1" s="1"/>
  <c r="K43" i="1"/>
  <c r="O43" i="1" s="1"/>
  <c r="L43" i="1"/>
  <c r="P43" i="1" s="1"/>
  <c r="M43" i="1"/>
  <c r="Q43" i="1" s="1"/>
  <c r="J44" i="1"/>
  <c r="N44" i="1" s="1"/>
  <c r="K44" i="1"/>
  <c r="O44" i="1" s="1"/>
  <c r="L44" i="1"/>
  <c r="P44" i="1" s="1"/>
  <c r="M44" i="1"/>
  <c r="Q44" i="1" s="1"/>
  <c r="J45" i="1"/>
  <c r="N45" i="1" s="1"/>
  <c r="K45" i="1"/>
  <c r="O45" i="1" s="1"/>
  <c r="L45" i="1"/>
  <c r="P45" i="1" s="1"/>
  <c r="M45" i="1"/>
  <c r="Q45" i="1" s="1"/>
  <c r="J46" i="1"/>
  <c r="N46" i="1" s="1"/>
  <c r="K46" i="1"/>
  <c r="O46" i="1" s="1"/>
  <c r="L46" i="1"/>
  <c r="P46" i="1" s="1"/>
  <c r="M46" i="1"/>
  <c r="Q46" i="1" s="1"/>
  <c r="J47" i="1"/>
  <c r="N47" i="1" s="1"/>
  <c r="K47" i="1"/>
  <c r="O47" i="1" s="1"/>
  <c r="L47" i="1"/>
  <c r="P47" i="1" s="1"/>
  <c r="M47" i="1"/>
  <c r="Q47" i="1" s="1"/>
  <c r="J48" i="1"/>
  <c r="N48" i="1" s="1"/>
  <c r="K48" i="1"/>
  <c r="O48" i="1" s="1"/>
  <c r="L48" i="1"/>
  <c r="P48" i="1" s="1"/>
  <c r="M48" i="1"/>
  <c r="Q48" i="1" s="1"/>
  <c r="J49" i="1"/>
  <c r="N49" i="1" s="1"/>
  <c r="K49" i="1"/>
  <c r="O49" i="1" s="1"/>
  <c r="L49" i="1"/>
  <c r="P49" i="1" s="1"/>
  <c r="M49" i="1"/>
  <c r="Q49" i="1" s="1"/>
  <c r="J50" i="1"/>
  <c r="N50" i="1" s="1"/>
  <c r="K50" i="1"/>
  <c r="O50" i="1" s="1"/>
  <c r="L50" i="1"/>
  <c r="P50" i="1" s="1"/>
  <c r="M50" i="1"/>
  <c r="Q50" i="1" s="1"/>
  <c r="J51" i="1"/>
  <c r="N51" i="1" s="1"/>
  <c r="K51" i="1"/>
  <c r="O51" i="1" s="1"/>
  <c r="L51" i="1"/>
  <c r="P51" i="1" s="1"/>
  <c r="M51" i="1"/>
  <c r="Q51" i="1" s="1"/>
  <c r="J52" i="1"/>
  <c r="N52" i="1" s="1"/>
  <c r="K52" i="1"/>
  <c r="O52" i="1" s="1"/>
  <c r="L52" i="1"/>
  <c r="P52" i="1" s="1"/>
  <c r="M52" i="1"/>
  <c r="Q52" i="1" s="1"/>
  <c r="J53" i="1"/>
  <c r="N53" i="1" s="1"/>
  <c r="K53" i="1"/>
  <c r="O53" i="1" s="1"/>
  <c r="L53" i="1"/>
  <c r="P53" i="1" s="1"/>
  <c r="M53" i="1"/>
  <c r="Q53" i="1" s="1"/>
  <c r="J54" i="1"/>
  <c r="N54" i="1" s="1"/>
  <c r="K54" i="1"/>
  <c r="O54" i="1" s="1"/>
  <c r="L54" i="1"/>
  <c r="P54" i="1" s="1"/>
  <c r="M54" i="1"/>
  <c r="Q54" i="1" s="1"/>
  <c r="J55" i="1"/>
  <c r="N55" i="1" s="1"/>
  <c r="K55" i="1"/>
  <c r="O55" i="1" s="1"/>
  <c r="L55" i="1"/>
  <c r="P55" i="1" s="1"/>
  <c r="M55" i="1"/>
  <c r="Q55" i="1" s="1"/>
  <c r="J56" i="1"/>
  <c r="N56" i="1" s="1"/>
  <c r="K56" i="1"/>
  <c r="O56" i="1" s="1"/>
  <c r="L56" i="1"/>
  <c r="P56" i="1" s="1"/>
  <c r="M56" i="1"/>
  <c r="Q56" i="1" s="1"/>
  <c r="J57" i="1"/>
  <c r="N57" i="1" s="1"/>
  <c r="K57" i="1"/>
  <c r="O57" i="1" s="1"/>
  <c r="L57" i="1"/>
  <c r="P57" i="1" s="1"/>
  <c r="M57" i="1"/>
  <c r="Q57" i="1" s="1"/>
  <c r="J58" i="1"/>
  <c r="N58" i="1" s="1"/>
  <c r="K58" i="1"/>
  <c r="O58" i="1" s="1"/>
  <c r="L58" i="1"/>
  <c r="P58" i="1" s="1"/>
  <c r="M58" i="1"/>
  <c r="Q58" i="1" s="1"/>
  <c r="J59" i="1"/>
  <c r="N59" i="1" s="1"/>
  <c r="K59" i="1"/>
  <c r="O59" i="1" s="1"/>
  <c r="L59" i="1"/>
  <c r="P59" i="1" s="1"/>
  <c r="M59" i="1"/>
  <c r="Q59" i="1" s="1"/>
  <c r="J60" i="1"/>
  <c r="N60" i="1" s="1"/>
  <c r="K60" i="1"/>
  <c r="O60" i="1" s="1"/>
  <c r="L60" i="1"/>
  <c r="P60" i="1" s="1"/>
  <c r="M60" i="1"/>
  <c r="Q60" i="1" s="1"/>
  <c r="J61" i="1"/>
  <c r="N61" i="1" s="1"/>
  <c r="K61" i="1"/>
  <c r="O61" i="1" s="1"/>
  <c r="L61" i="1"/>
  <c r="P61" i="1" s="1"/>
  <c r="M61" i="1"/>
  <c r="Q61" i="1" s="1"/>
  <c r="J62" i="1"/>
  <c r="N62" i="1" s="1"/>
  <c r="K62" i="1"/>
  <c r="O62" i="1" s="1"/>
  <c r="L62" i="1"/>
  <c r="P62" i="1" s="1"/>
  <c r="M62" i="1"/>
  <c r="Q62" i="1" s="1"/>
  <c r="J63" i="1"/>
  <c r="N63" i="1" s="1"/>
  <c r="K63" i="1"/>
  <c r="O63" i="1" s="1"/>
  <c r="L63" i="1"/>
  <c r="P63" i="1" s="1"/>
  <c r="M63" i="1"/>
  <c r="Q63" i="1" s="1"/>
  <c r="J64" i="1"/>
  <c r="N64" i="1" s="1"/>
  <c r="K64" i="1"/>
  <c r="O64" i="1" s="1"/>
  <c r="L64" i="1"/>
  <c r="P64" i="1" s="1"/>
  <c r="M64" i="1"/>
  <c r="Q64" i="1" s="1"/>
  <c r="J65" i="1"/>
  <c r="N65" i="1" s="1"/>
  <c r="K65" i="1"/>
  <c r="O65" i="1" s="1"/>
  <c r="L65" i="1"/>
  <c r="P65" i="1" s="1"/>
  <c r="M65" i="1"/>
  <c r="Q65" i="1" s="1"/>
  <c r="J66" i="1"/>
  <c r="N66" i="1" s="1"/>
  <c r="K66" i="1"/>
  <c r="O66" i="1" s="1"/>
  <c r="L66" i="1"/>
  <c r="P66" i="1" s="1"/>
  <c r="M66" i="1"/>
  <c r="Q66" i="1" s="1"/>
  <c r="J67" i="1"/>
  <c r="N67" i="1" s="1"/>
  <c r="K67" i="1"/>
  <c r="O67" i="1" s="1"/>
  <c r="L67" i="1"/>
  <c r="P67" i="1" s="1"/>
  <c r="M67" i="1"/>
  <c r="Q67" i="1" s="1"/>
  <c r="J68" i="1"/>
  <c r="N68" i="1" s="1"/>
  <c r="K68" i="1"/>
  <c r="O68" i="1" s="1"/>
  <c r="L68" i="1"/>
  <c r="P68" i="1" s="1"/>
  <c r="M68" i="1"/>
  <c r="Q68" i="1" s="1"/>
  <c r="J69" i="1"/>
  <c r="N69" i="1" s="1"/>
  <c r="K69" i="1"/>
  <c r="O69" i="1" s="1"/>
  <c r="L69" i="1"/>
  <c r="P69" i="1" s="1"/>
  <c r="M69" i="1"/>
  <c r="Q69" i="1" s="1"/>
  <c r="J70" i="1"/>
  <c r="N70" i="1" s="1"/>
  <c r="K70" i="1"/>
  <c r="O70" i="1" s="1"/>
  <c r="L70" i="1"/>
  <c r="P70" i="1" s="1"/>
  <c r="M70" i="1"/>
  <c r="Q70" i="1" s="1"/>
  <c r="J71" i="1"/>
  <c r="N71" i="1" s="1"/>
  <c r="K71" i="1"/>
  <c r="O71" i="1" s="1"/>
  <c r="L71" i="1"/>
  <c r="P71" i="1" s="1"/>
  <c r="M71" i="1"/>
  <c r="Q71" i="1" s="1"/>
  <c r="J72" i="1"/>
  <c r="N72" i="1" s="1"/>
  <c r="K72" i="1"/>
  <c r="O72" i="1" s="1"/>
  <c r="L72" i="1"/>
  <c r="P72" i="1" s="1"/>
  <c r="M72" i="1"/>
  <c r="Q72" i="1" s="1"/>
  <c r="J73" i="1"/>
  <c r="N73" i="1" s="1"/>
  <c r="K73" i="1"/>
  <c r="O73" i="1" s="1"/>
  <c r="L73" i="1"/>
  <c r="P73" i="1" s="1"/>
  <c r="M73" i="1"/>
  <c r="Q73" i="1" s="1"/>
  <c r="J74" i="1"/>
  <c r="N74" i="1" s="1"/>
  <c r="K74" i="1"/>
  <c r="O74" i="1" s="1"/>
  <c r="L74" i="1"/>
  <c r="P74" i="1" s="1"/>
  <c r="M74" i="1"/>
  <c r="Q74" i="1" s="1"/>
  <c r="J75" i="1"/>
  <c r="N75" i="1" s="1"/>
  <c r="K75" i="1"/>
  <c r="O75" i="1" s="1"/>
  <c r="L75" i="1"/>
  <c r="P75" i="1" s="1"/>
  <c r="M75" i="1"/>
  <c r="Q75" i="1" s="1"/>
  <c r="J76" i="1"/>
  <c r="N76" i="1" s="1"/>
  <c r="K76" i="1"/>
  <c r="O76" i="1" s="1"/>
  <c r="L76" i="1"/>
  <c r="P76" i="1" s="1"/>
  <c r="M76" i="1"/>
  <c r="Q76" i="1" s="1"/>
  <c r="J77" i="1"/>
  <c r="N77" i="1" s="1"/>
  <c r="K77" i="1"/>
  <c r="O77" i="1" s="1"/>
  <c r="L77" i="1"/>
  <c r="P77" i="1" s="1"/>
  <c r="M77" i="1"/>
  <c r="Q77" i="1" s="1"/>
  <c r="J78" i="1"/>
  <c r="N78" i="1" s="1"/>
  <c r="K78" i="1"/>
  <c r="O78" i="1" s="1"/>
  <c r="L78" i="1"/>
  <c r="P78" i="1" s="1"/>
  <c r="M78" i="1"/>
  <c r="Q78" i="1" s="1"/>
  <c r="J79" i="1"/>
  <c r="N79" i="1" s="1"/>
  <c r="K79" i="1"/>
  <c r="O79" i="1" s="1"/>
  <c r="L79" i="1"/>
  <c r="P79" i="1" s="1"/>
  <c r="M79" i="1"/>
  <c r="Q79" i="1" s="1"/>
  <c r="J80" i="1"/>
  <c r="N80" i="1" s="1"/>
  <c r="K80" i="1"/>
  <c r="O80" i="1" s="1"/>
  <c r="L80" i="1"/>
  <c r="P80" i="1" s="1"/>
  <c r="M80" i="1"/>
  <c r="Q80" i="1" s="1"/>
  <c r="J81" i="1"/>
  <c r="N81" i="1" s="1"/>
  <c r="K81" i="1"/>
  <c r="O81" i="1" s="1"/>
  <c r="L81" i="1"/>
  <c r="P81" i="1" s="1"/>
  <c r="M81" i="1"/>
  <c r="Q81" i="1" s="1"/>
  <c r="J82" i="1"/>
  <c r="N82" i="1" s="1"/>
  <c r="K82" i="1"/>
  <c r="O82" i="1" s="1"/>
  <c r="L82" i="1"/>
  <c r="P82" i="1" s="1"/>
  <c r="M82" i="1"/>
  <c r="Q82" i="1" s="1"/>
  <c r="J83" i="1"/>
  <c r="N83" i="1" s="1"/>
  <c r="K83" i="1"/>
  <c r="O83" i="1" s="1"/>
  <c r="L83" i="1"/>
  <c r="P83" i="1" s="1"/>
  <c r="M83" i="1"/>
  <c r="Q83" i="1" s="1"/>
  <c r="J84" i="1"/>
  <c r="N84" i="1" s="1"/>
  <c r="K84" i="1"/>
  <c r="O84" i="1" s="1"/>
  <c r="L84" i="1"/>
  <c r="P84" i="1" s="1"/>
  <c r="M84" i="1"/>
  <c r="Q84" i="1" s="1"/>
  <c r="J85" i="1"/>
  <c r="N85" i="1" s="1"/>
  <c r="K85" i="1"/>
  <c r="O85" i="1" s="1"/>
  <c r="L85" i="1"/>
  <c r="P85" i="1" s="1"/>
  <c r="M85" i="1"/>
  <c r="Q85" i="1" s="1"/>
  <c r="J86" i="1"/>
  <c r="N86" i="1" s="1"/>
  <c r="K86" i="1"/>
  <c r="O86" i="1" s="1"/>
  <c r="L86" i="1"/>
  <c r="P86" i="1" s="1"/>
  <c r="M86" i="1"/>
  <c r="Q86" i="1" s="1"/>
  <c r="J87" i="1"/>
  <c r="N87" i="1" s="1"/>
  <c r="K87" i="1"/>
  <c r="O87" i="1" s="1"/>
  <c r="L87" i="1"/>
  <c r="P87" i="1" s="1"/>
  <c r="M87" i="1"/>
  <c r="Q87" i="1" s="1"/>
  <c r="J88" i="1"/>
  <c r="N88" i="1" s="1"/>
  <c r="K88" i="1"/>
  <c r="O88" i="1" s="1"/>
  <c r="L88" i="1"/>
  <c r="P88" i="1" s="1"/>
  <c r="M88" i="1"/>
  <c r="Q88" i="1" s="1"/>
  <c r="J89" i="1"/>
  <c r="N89" i="1" s="1"/>
  <c r="K89" i="1"/>
  <c r="O89" i="1" s="1"/>
  <c r="L89" i="1"/>
  <c r="P89" i="1" s="1"/>
  <c r="M89" i="1"/>
  <c r="Q89" i="1" s="1"/>
  <c r="J90" i="1"/>
  <c r="N90" i="1" s="1"/>
  <c r="K90" i="1"/>
  <c r="O90" i="1" s="1"/>
  <c r="L90" i="1"/>
  <c r="P90" i="1" s="1"/>
  <c r="M90" i="1"/>
  <c r="Q90" i="1" s="1"/>
  <c r="J91" i="1"/>
  <c r="N91" i="1" s="1"/>
  <c r="K91" i="1"/>
  <c r="O91" i="1" s="1"/>
  <c r="L91" i="1"/>
  <c r="P91" i="1" s="1"/>
  <c r="M91" i="1"/>
  <c r="Q91" i="1" s="1"/>
  <c r="J92" i="1"/>
  <c r="N92" i="1" s="1"/>
  <c r="K92" i="1"/>
  <c r="O92" i="1" s="1"/>
  <c r="L92" i="1"/>
  <c r="P92" i="1" s="1"/>
  <c r="M92" i="1"/>
  <c r="Q92" i="1" s="1"/>
  <c r="J93" i="1"/>
  <c r="N93" i="1" s="1"/>
  <c r="K93" i="1"/>
  <c r="O93" i="1" s="1"/>
  <c r="L93" i="1"/>
  <c r="P93" i="1" s="1"/>
  <c r="M93" i="1"/>
  <c r="Q93" i="1" s="1"/>
  <c r="J94" i="1"/>
  <c r="N94" i="1" s="1"/>
  <c r="K94" i="1"/>
  <c r="O94" i="1" s="1"/>
  <c r="L94" i="1"/>
  <c r="P94" i="1" s="1"/>
  <c r="M94" i="1"/>
  <c r="Q94" i="1" s="1"/>
  <c r="J95" i="1"/>
  <c r="N95" i="1" s="1"/>
  <c r="K95" i="1"/>
  <c r="O95" i="1" s="1"/>
  <c r="L95" i="1"/>
  <c r="P95" i="1" s="1"/>
  <c r="M95" i="1"/>
  <c r="Q95" i="1" s="1"/>
  <c r="J96" i="1"/>
  <c r="N96" i="1" s="1"/>
  <c r="K96" i="1"/>
  <c r="O96" i="1" s="1"/>
  <c r="L96" i="1"/>
  <c r="P96" i="1" s="1"/>
  <c r="M96" i="1"/>
  <c r="Q96" i="1" s="1"/>
  <c r="J97" i="1"/>
  <c r="N97" i="1" s="1"/>
  <c r="K97" i="1"/>
  <c r="O97" i="1" s="1"/>
  <c r="L97" i="1"/>
  <c r="P97" i="1" s="1"/>
  <c r="M97" i="1"/>
  <c r="Q97" i="1" s="1"/>
  <c r="J98" i="1"/>
  <c r="N98" i="1" s="1"/>
  <c r="K98" i="1"/>
  <c r="O98" i="1" s="1"/>
  <c r="L98" i="1"/>
  <c r="P98" i="1" s="1"/>
  <c r="M98" i="1"/>
  <c r="Q98" i="1" s="1"/>
  <c r="J99" i="1"/>
  <c r="N99" i="1" s="1"/>
  <c r="K99" i="1"/>
  <c r="O99" i="1" s="1"/>
  <c r="L99" i="1"/>
  <c r="P99" i="1" s="1"/>
  <c r="M99" i="1"/>
  <c r="Q99" i="1" s="1"/>
  <c r="J100" i="1"/>
  <c r="N100" i="1" s="1"/>
  <c r="K100" i="1"/>
  <c r="O100" i="1" s="1"/>
  <c r="L100" i="1"/>
  <c r="P100" i="1" s="1"/>
  <c r="M100" i="1"/>
  <c r="Q100" i="1" s="1"/>
  <c r="J101" i="1"/>
  <c r="N101" i="1" s="1"/>
  <c r="K101" i="1"/>
  <c r="O101" i="1" s="1"/>
  <c r="L101" i="1"/>
  <c r="P101" i="1" s="1"/>
  <c r="M101" i="1"/>
  <c r="Q101" i="1" s="1"/>
  <c r="J102" i="1"/>
  <c r="N102" i="1" s="1"/>
  <c r="K102" i="1"/>
  <c r="O102" i="1" s="1"/>
  <c r="L102" i="1"/>
  <c r="P102" i="1" s="1"/>
  <c r="M102" i="1"/>
  <c r="Q102" i="1" s="1"/>
  <c r="M2" i="1"/>
  <c r="Q2" i="1" s="1"/>
  <c r="L2" i="1" l="1"/>
  <c r="K2" i="1"/>
  <c r="O2" i="1" s="1"/>
  <c r="J2" i="1"/>
  <c r="N2" i="1" s="1"/>
</calcChain>
</file>

<file path=xl/sharedStrings.xml><?xml version="1.0" encoding="utf-8"?>
<sst xmlns="http://schemas.openxmlformats.org/spreadsheetml/2006/main" count="623" uniqueCount="145">
  <si>
    <t>Pin Code</t>
  </si>
  <si>
    <t>Masked_Lat</t>
  </si>
  <si>
    <t>Masked_Long</t>
  </si>
  <si>
    <t>First choice</t>
  </si>
  <si>
    <t>Second choice</t>
  </si>
  <si>
    <t>Third choice</t>
  </si>
  <si>
    <t>Fourth choice</t>
  </si>
  <si>
    <t>DP1</t>
  </si>
  <si>
    <t>Jharkhand</t>
  </si>
  <si>
    <t>Electronics</t>
  </si>
  <si>
    <t>Apparel</t>
  </si>
  <si>
    <t>Grocery</t>
  </si>
  <si>
    <t>Books</t>
  </si>
  <si>
    <t>DP2</t>
  </si>
  <si>
    <t>Chhattisgarh</t>
  </si>
  <si>
    <t>DP3</t>
  </si>
  <si>
    <t>Rajasthan</t>
  </si>
  <si>
    <t>DP4</t>
  </si>
  <si>
    <t>Karnataka</t>
  </si>
  <si>
    <t>DP5</t>
  </si>
  <si>
    <t xml:space="preserve">Uttar Pradesh </t>
  </si>
  <si>
    <t>DP6</t>
  </si>
  <si>
    <t>Punjab</t>
  </si>
  <si>
    <t>DP7</t>
  </si>
  <si>
    <t>Maharashtra</t>
  </si>
  <si>
    <t>DP8</t>
  </si>
  <si>
    <t>Bihar</t>
  </si>
  <si>
    <t>DP9</t>
  </si>
  <si>
    <t>Uttar Pradesh</t>
  </si>
  <si>
    <t>DP10</t>
  </si>
  <si>
    <t>Haryana</t>
  </si>
  <si>
    <t>DP11</t>
  </si>
  <si>
    <t>Kerala</t>
  </si>
  <si>
    <t>DP12</t>
  </si>
  <si>
    <t>DP13</t>
  </si>
  <si>
    <t>Assam</t>
  </si>
  <si>
    <t>DP14</t>
  </si>
  <si>
    <t>West Bengal</t>
  </si>
  <si>
    <t>DP15</t>
  </si>
  <si>
    <t>Himachal Pradesh</t>
  </si>
  <si>
    <t>DP16</t>
  </si>
  <si>
    <t>Andhra Pradesh</t>
  </si>
  <si>
    <t>DP17</t>
  </si>
  <si>
    <t>DP18</t>
  </si>
  <si>
    <t>Tamil Nadu</t>
  </si>
  <si>
    <t>DP19</t>
  </si>
  <si>
    <t>DP20</t>
  </si>
  <si>
    <t>DP21</t>
  </si>
  <si>
    <t>Telengana</t>
  </si>
  <si>
    <t>DP22</t>
  </si>
  <si>
    <t>Odisha</t>
  </si>
  <si>
    <t>DP23</t>
  </si>
  <si>
    <t>DP24</t>
  </si>
  <si>
    <t>Madhya Pradesh</t>
  </si>
  <si>
    <t>DP25</t>
  </si>
  <si>
    <t>DP26</t>
  </si>
  <si>
    <t>DP27</t>
  </si>
  <si>
    <t>DP28</t>
  </si>
  <si>
    <t>Telangana</t>
  </si>
  <si>
    <t>DP29</t>
  </si>
  <si>
    <t>DP30</t>
  </si>
  <si>
    <t>Gujarat</t>
  </si>
  <si>
    <t>DP31</t>
  </si>
  <si>
    <t>DP32</t>
  </si>
  <si>
    <t>DP33</t>
  </si>
  <si>
    <t>DP34</t>
  </si>
  <si>
    <t>DP35</t>
  </si>
  <si>
    <t>DP36</t>
  </si>
  <si>
    <t>Uttarakhand</t>
  </si>
  <si>
    <t>DP37</t>
  </si>
  <si>
    <t xml:space="preserve">Rajasthan </t>
  </si>
  <si>
    <t>DP38</t>
  </si>
  <si>
    <t>DP39</t>
  </si>
  <si>
    <t>DP40</t>
  </si>
  <si>
    <t>DP41</t>
  </si>
  <si>
    <t>Delhi</t>
  </si>
  <si>
    <t>DP42</t>
  </si>
  <si>
    <t>DP43</t>
  </si>
  <si>
    <t>DP44</t>
  </si>
  <si>
    <t>DP45</t>
  </si>
  <si>
    <t>HARYANA</t>
  </si>
  <si>
    <t>DP46</t>
  </si>
  <si>
    <t>DP47</t>
  </si>
  <si>
    <t>DP48</t>
  </si>
  <si>
    <t>DP49</t>
  </si>
  <si>
    <t>DP50</t>
  </si>
  <si>
    <t>DP51</t>
  </si>
  <si>
    <t>DP52</t>
  </si>
  <si>
    <t>DP53</t>
  </si>
  <si>
    <t>DP54</t>
  </si>
  <si>
    <t>DP55</t>
  </si>
  <si>
    <t>DP56</t>
  </si>
  <si>
    <t>DP57</t>
  </si>
  <si>
    <t>DP58</t>
  </si>
  <si>
    <t>DP59</t>
  </si>
  <si>
    <t>DP60</t>
  </si>
  <si>
    <t>DP61</t>
  </si>
  <si>
    <t>DP62</t>
  </si>
  <si>
    <t>DP63</t>
  </si>
  <si>
    <t>DP64</t>
  </si>
  <si>
    <t>DP65</t>
  </si>
  <si>
    <t>DP66</t>
  </si>
  <si>
    <t xml:space="preserve">New Delhi </t>
  </si>
  <si>
    <t>DP67</t>
  </si>
  <si>
    <t>DP68</t>
  </si>
  <si>
    <t>DP69</t>
  </si>
  <si>
    <t>DP70</t>
  </si>
  <si>
    <t>DP71</t>
  </si>
  <si>
    <t>DP72</t>
  </si>
  <si>
    <t>NEW DELHI</t>
  </si>
  <si>
    <t>DP73</t>
  </si>
  <si>
    <t>DP74</t>
  </si>
  <si>
    <t>DP75</t>
  </si>
  <si>
    <t>DP76</t>
  </si>
  <si>
    <t>DP77</t>
  </si>
  <si>
    <t>DP78</t>
  </si>
  <si>
    <t>uttar pradesh</t>
  </si>
  <si>
    <t>DP79</t>
  </si>
  <si>
    <t>DP80</t>
  </si>
  <si>
    <t>DP81</t>
  </si>
  <si>
    <t>DP82</t>
  </si>
  <si>
    <t>DP83</t>
  </si>
  <si>
    <t>DP84</t>
  </si>
  <si>
    <t>DP85</t>
  </si>
  <si>
    <t>CHHATTISGARH</t>
  </si>
  <si>
    <t>DP86</t>
  </si>
  <si>
    <t>DP87</t>
  </si>
  <si>
    <t>DP88</t>
  </si>
  <si>
    <t>DP89</t>
  </si>
  <si>
    <t>DP90</t>
  </si>
  <si>
    <t>DP91</t>
  </si>
  <si>
    <t>New Delhi</t>
  </si>
  <si>
    <t>DP92</t>
  </si>
  <si>
    <t>DP93</t>
  </si>
  <si>
    <t>DP94</t>
  </si>
  <si>
    <t>DP95</t>
  </si>
  <si>
    <t>BIHAR</t>
  </si>
  <si>
    <t>DP96</t>
  </si>
  <si>
    <t>DP97</t>
  </si>
  <si>
    <t>DP98</t>
  </si>
  <si>
    <t>DP99</t>
  </si>
  <si>
    <t>DP100</t>
  </si>
  <si>
    <t>DP101</t>
  </si>
  <si>
    <t>State</t>
  </si>
  <si>
    <t>Demand Point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</si>
</sst>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00000000_ ;_ * \-#,##0.0000000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tabSelected="1" zoomScale="82" zoomScaleNormal="82" workbookViewId="0">
      <selection activeCell="Q24" sqref="Q24"/>
    </sheetView>
  </sheetViews>
  <sheetFormatPr defaultRowHeight="15" x14ac:dyDescent="0.25"/>
  <cols>
    <col min="1" max="1" width="9.140625" bestFit="1" customWidth="1"/>
    <col min="2" max="2" width="18.7109375" bestFit="1" customWidth="1"/>
    <col min="4" max="4" width="14.42578125" style="1" bestFit="1" customWidth="1"/>
    <col min="5" max="5" width="15.28515625" style="1" bestFit="1" customWidth="1"/>
    <col min="6" max="6" width="11" bestFit="1" customWidth="1"/>
    <col min="7" max="7" width="14.7109375" bestFit="1" customWidth="1"/>
    <col min="8" max="8" width="12.7109375" bestFit="1" customWidth="1"/>
    <col min="9" max="9" width="14.140625" bestFit="1" customWidth="1"/>
    <col min="10" max="10" width="42.5703125" bestFit="1" customWidth="1"/>
    <col min="14" max="14" width="11.42578125" bestFit="1" customWidth="1"/>
    <col min="15" max="15" width="8.7109375" bestFit="1" customWidth="1"/>
    <col min="16" max="16" width="8.140625" bestFit="1" customWidth="1"/>
    <col min="17" max="17" width="7" bestFit="1" customWidth="1"/>
  </cols>
  <sheetData>
    <row r="1" spans="1:17" x14ac:dyDescent="0.25">
      <c r="A1" t="s">
        <v>144</v>
      </c>
      <c r="B1" t="s">
        <v>143</v>
      </c>
      <c r="C1" t="s">
        <v>0</v>
      </c>
      <c r="D1" s="1" t="s">
        <v>1</v>
      </c>
      <c r="E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9</v>
      </c>
      <c r="K1" t="s">
        <v>10</v>
      </c>
      <c r="L1" t="s">
        <v>11</v>
      </c>
      <c r="M1" t="s">
        <v>12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 t="s">
        <v>7</v>
      </c>
      <c r="B2" t="s">
        <v>8</v>
      </c>
      <c r="C2">
        <v>826004</v>
      </c>
      <c r="D2" s="1">
        <v>23.850505699999999</v>
      </c>
      <c r="E2" s="1">
        <v>86.421150600000004</v>
      </c>
      <c r="F2" t="s">
        <v>9</v>
      </c>
      <c r="G2" t="s">
        <v>10</v>
      </c>
      <c r="H2" t="s">
        <v>11</v>
      </c>
      <c r="I2" t="s">
        <v>12</v>
      </c>
      <c r="J2">
        <f t="shared" ref="J2:J33" si="0">IF(F2="Electronics",4,IF(G2="Electronics",3,IF(H2="Electronics",2,IF(I2="Electronics",1,0))))</f>
        <v>4</v>
      </c>
      <c r="K2">
        <f t="shared" ref="K2:K33" si="1">IF(F2="Apparel",4,IF(G2="Apparel",3,IF(H2="Apparel",2,IF(I2="Apparel",1,0))))</f>
        <v>3</v>
      </c>
      <c r="L2">
        <f t="shared" ref="L2:L33" si="2">IF(F2="Grocery",4,IF(G2="Grocery",3,IF(H2="Grocery",2,IF(I2="Grocery",1,0))))</f>
        <v>2</v>
      </c>
      <c r="M2">
        <f t="shared" ref="M2:M33" si="3">IF(F2="Books",4,IF(G2="Books",3,IF(H2="Books",2,IF(I2="Books",1,0))))</f>
        <v>1</v>
      </c>
      <c r="N2">
        <f ca="1">IF(J2=4,RANDBETWEEN(350,450),IF(J2=3,RANDBETWEEN(250,350),IF(J2=2,RANDBETWEEN(150,250), RANDBETWEEN(50,150))))</f>
        <v>450</v>
      </c>
      <c r="O2">
        <f t="shared" ref="O2:Q2" ca="1" si="4">IF(K2=4,RANDBETWEEN(350,450),IF(K2=3,RANDBETWEEN(250,350),IF(K2=2,RANDBETWEEN(150,250), RANDBETWEEN(50,150))))</f>
        <v>337</v>
      </c>
      <c r="P2">
        <f t="shared" ca="1" si="4"/>
        <v>201</v>
      </c>
      <c r="Q2">
        <f t="shared" ca="1" si="4"/>
        <v>117</v>
      </c>
    </row>
    <row r="3" spans="1:17" x14ac:dyDescent="0.25">
      <c r="A3" t="s">
        <v>13</v>
      </c>
      <c r="B3" t="s">
        <v>14</v>
      </c>
      <c r="C3">
        <v>490020</v>
      </c>
      <c r="D3" s="1">
        <v>21.209944</v>
      </c>
      <c r="E3" s="1">
        <v>81.376226000000003</v>
      </c>
      <c r="F3" t="s">
        <v>9</v>
      </c>
      <c r="G3" t="s">
        <v>10</v>
      </c>
      <c r="H3" t="s">
        <v>12</v>
      </c>
      <c r="I3" t="s">
        <v>11</v>
      </c>
      <c r="J3">
        <f t="shared" si="0"/>
        <v>4</v>
      </c>
      <c r="K3">
        <f t="shared" si="1"/>
        <v>3</v>
      </c>
      <c r="L3">
        <f t="shared" si="2"/>
        <v>1</v>
      </c>
      <c r="M3">
        <f t="shared" si="3"/>
        <v>2</v>
      </c>
      <c r="N3">
        <f t="shared" ref="N3:N23" ca="1" si="5">IF(J3=4,RANDBETWEEN(350,450),IF(J3=3,RANDBETWEEN(250,350),IF(J3=2,RANDBETWEEN(150,250), RANDBETWEEN(50,150))))</f>
        <v>425</v>
      </c>
      <c r="O3">
        <f t="shared" ref="O3:O23" ca="1" si="6">IF(K3=4,RANDBETWEEN(350,450),IF(K3=3,RANDBETWEEN(250,350),IF(K3=2,RANDBETWEEN(150,250), RANDBETWEEN(50,150))))</f>
        <v>273</v>
      </c>
      <c r="P3">
        <f t="shared" ref="P3:P23" ca="1" si="7">IF(L3=4,RANDBETWEEN(350,450),IF(L3=3,RANDBETWEEN(250,350),IF(L3=2,RANDBETWEEN(150,250), RANDBETWEEN(50,150))))</f>
        <v>127</v>
      </c>
      <c r="Q3">
        <f t="shared" ref="Q3:Q23" ca="1" si="8">IF(M3=4,RANDBETWEEN(350,450),IF(M3=3,RANDBETWEEN(250,350),IF(M3=2,RANDBETWEEN(150,250), RANDBETWEEN(50,150))))</f>
        <v>154</v>
      </c>
    </row>
    <row r="4" spans="1:17" x14ac:dyDescent="0.25">
      <c r="A4" t="s">
        <v>15</v>
      </c>
      <c r="B4" t="s">
        <v>16</v>
      </c>
      <c r="C4">
        <v>302006</v>
      </c>
      <c r="D4" s="1">
        <v>26.913268000000002</v>
      </c>
      <c r="E4" s="1">
        <v>75.787842999999995</v>
      </c>
      <c r="F4" t="s">
        <v>9</v>
      </c>
      <c r="G4" t="s">
        <v>11</v>
      </c>
      <c r="H4" t="s">
        <v>10</v>
      </c>
      <c r="I4" t="s">
        <v>12</v>
      </c>
      <c r="J4">
        <f t="shared" si="0"/>
        <v>4</v>
      </c>
      <c r="K4">
        <f t="shared" si="1"/>
        <v>2</v>
      </c>
      <c r="L4">
        <f t="shared" si="2"/>
        <v>3</v>
      </c>
      <c r="M4">
        <f t="shared" si="3"/>
        <v>1</v>
      </c>
      <c r="N4">
        <f t="shared" ca="1" si="5"/>
        <v>383</v>
      </c>
      <c r="O4">
        <f t="shared" ca="1" si="6"/>
        <v>210</v>
      </c>
      <c r="P4">
        <f t="shared" ca="1" si="7"/>
        <v>311</v>
      </c>
      <c r="Q4">
        <f t="shared" ca="1" si="8"/>
        <v>100</v>
      </c>
    </row>
    <row r="5" spans="1:17" x14ac:dyDescent="0.25">
      <c r="A5" t="s">
        <v>17</v>
      </c>
      <c r="B5" t="s">
        <v>18</v>
      </c>
      <c r="C5">
        <v>560062</v>
      </c>
      <c r="D5" s="1">
        <v>12.886044100000001</v>
      </c>
      <c r="E5" s="1">
        <v>77.550148500000006</v>
      </c>
      <c r="F5" t="s">
        <v>11</v>
      </c>
      <c r="G5" t="s">
        <v>9</v>
      </c>
      <c r="H5" t="s">
        <v>12</v>
      </c>
      <c r="I5" t="s">
        <v>10</v>
      </c>
      <c r="J5">
        <f t="shared" si="0"/>
        <v>3</v>
      </c>
      <c r="K5">
        <f t="shared" si="1"/>
        <v>1</v>
      </c>
      <c r="L5">
        <f t="shared" si="2"/>
        <v>4</v>
      </c>
      <c r="M5">
        <f t="shared" si="3"/>
        <v>2</v>
      </c>
      <c r="N5">
        <f t="shared" ca="1" si="5"/>
        <v>260</v>
      </c>
      <c r="O5">
        <f t="shared" ca="1" si="6"/>
        <v>127</v>
      </c>
      <c r="P5">
        <f t="shared" ca="1" si="7"/>
        <v>409</v>
      </c>
      <c r="Q5">
        <f t="shared" ca="1" si="8"/>
        <v>166</v>
      </c>
    </row>
    <row r="6" spans="1:17" x14ac:dyDescent="0.25">
      <c r="A6" t="s">
        <v>19</v>
      </c>
      <c r="B6" t="s">
        <v>20</v>
      </c>
      <c r="C6">
        <v>221005</v>
      </c>
      <c r="D6" s="1">
        <v>25.263894537845101</v>
      </c>
      <c r="E6" s="1">
        <v>82.970918291015593</v>
      </c>
      <c r="F6" t="s">
        <v>9</v>
      </c>
      <c r="G6" t="s">
        <v>12</v>
      </c>
      <c r="H6" t="s">
        <v>10</v>
      </c>
      <c r="I6" t="s">
        <v>11</v>
      </c>
      <c r="J6">
        <f t="shared" si="0"/>
        <v>4</v>
      </c>
      <c r="K6">
        <f t="shared" si="1"/>
        <v>2</v>
      </c>
      <c r="L6">
        <f t="shared" si="2"/>
        <v>1</v>
      </c>
      <c r="M6">
        <f t="shared" si="3"/>
        <v>3</v>
      </c>
      <c r="N6">
        <f t="shared" ca="1" si="5"/>
        <v>362</v>
      </c>
      <c r="O6">
        <f t="shared" ca="1" si="6"/>
        <v>246</v>
      </c>
      <c r="P6">
        <f t="shared" ca="1" si="7"/>
        <v>133</v>
      </c>
      <c r="Q6">
        <f t="shared" ca="1" si="8"/>
        <v>293</v>
      </c>
    </row>
    <row r="7" spans="1:17" x14ac:dyDescent="0.25">
      <c r="A7" t="s">
        <v>21</v>
      </c>
      <c r="B7" t="s">
        <v>22</v>
      </c>
      <c r="C7">
        <v>152002</v>
      </c>
      <c r="D7" s="1">
        <v>30.944565999999998</v>
      </c>
      <c r="E7" s="1">
        <v>74.622973000000002</v>
      </c>
      <c r="F7" t="s">
        <v>12</v>
      </c>
      <c r="G7" t="s">
        <v>9</v>
      </c>
      <c r="H7" t="s">
        <v>10</v>
      </c>
      <c r="I7" t="s">
        <v>11</v>
      </c>
      <c r="J7">
        <f t="shared" si="0"/>
        <v>3</v>
      </c>
      <c r="K7">
        <f t="shared" si="1"/>
        <v>2</v>
      </c>
      <c r="L7">
        <f t="shared" si="2"/>
        <v>1</v>
      </c>
      <c r="M7">
        <f t="shared" si="3"/>
        <v>4</v>
      </c>
      <c r="N7">
        <f t="shared" ca="1" si="5"/>
        <v>280</v>
      </c>
      <c r="O7">
        <f t="shared" ca="1" si="6"/>
        <v>228</v>
      </c>
      <c r="P7">
        <f t="shared" ca="1" si="7"/>
        <v>87</v>
      </c>
      <c r="Q7">
        <f t="shared" ca="1" si="8"/>
        <v>398</v>
      </c>
    </row>
    <row r="8" spans="1:17" x14ac:dyDescent="0.25">
      <c r="A8" t="s">
        <v>23</v>
      </c>
      <c r="B8" t="s">
        <v>24</v>
      </c>
      <c r="C8">
        <v>400603</v>
      </c>
      <c r="D8" s="1">
        <v>19.182292576493801</v>
      </c>
      <c r="E8" s="1">
        <v>72.980091338851906</v>
      </c>
      <c r="F8" t="s">
        <v>9</v>
      </c>
      <c r="G8" t="s">
        <v>12</v>
      </c>
      <c r="H8" t="s">
        <v>10</v>
      </c>
      <c r="I8" t="s">
        <v>11</v>
      </c>
      <c r="J8">
        <f t="shared" si="0"/>
        <v>4</v>
      </c>
      <c r="K8">
        <f t="shared" si="1"/>
        <v>2</v>
      </c>
      <c r="L8">
        <f t="shared" si="2"/>
        <v>1</v>
      </c>
      <c r="M8">
        <f t="shared" si="3"/>
        <v>3</v>
      </c>
      <c r="N8">
        <f t="shared" ca="1" si="5"/>
        <v>376</v>
      </c>
      <c r="O8">
        <f t="shared" ca="1" si="6"/>
        <v>199</v>
      </c>
      <c r="P8">
        <f t="shared" ca="1" si="7"/>
        <v>114</v>
      </c>
      <c r="Q8">
        <f t="shared" ca="1" si="8"/>
        <v>263</v>
      </c>
    </row>
    <row r="9" spans="1:17" x14ac:dyDescent="0.25">
      <c r="A9" t="s">
        <v>25</v>
      </c>
      <c r="B9" t="s">
        <v>26</v>
      </c>
      <c r="C9">
        <v>812002</v>
      </c>
      <c r="D9" s="1">
        <v>25.247991599999999</v>
      </c>
      <c r="E9" s="1">
        <v>86.974576999999996</v>
      </c>
      <c r="F9" t="s">
        <v>9</v>
      </c>
      <c r="G9" t="s">
        <v>10</v>
      </c>
      <c r="H9" t="s">
        <v>12</v>
      </c>
      <c r="I9" t="s">
        <v>11</v>
      </c>
      <c r="J9">
        <f t="shared" si="0"/>
        <v>4</v>
      </c>
      <c r="K9">
        <f t="shared" si="1"/>
        <v>3</v>
      </c>
      <c r="L9">
        <f t="shared" si="2"/>
        <v>1</v>
      </c>
      <c r="M9">
        <f t="shared" si="3"/>
        <v>2</v>
      </c>
      <c r="N9">
        <f t="shared" ca="1" si="5"/>
        <v>444</v>
      </c>
      <c r="O9">
        <f t="shared" ca="1" si="6"/>
        <v>323</v>
      </c>
      <c r="P9">
        <f t="shared" ca="1" si="7"/>
        <v>76</v>
      </c>
      <c r="Q9">
        <f t="shared" ca="1" si="8"/>
        <v>218</v>
      </c>
    </row>
    <row r="10" spans="1:17" x14ac:dyDescent="0.25">
      <c r="A10" t="s">
        <v>27</v>
      </c>
      <c r="B10" t="s">
        <v>28</v>
      </c>
      <c r="C10">
        <v>282007</v>
      </c>
      <c r="D10" s="1">
        <v>27.181832</v>
      </c>
      <c r="E10" s="1">
        <v>77.997807399999999</v>
      </c>
      <c r="F10" t="s">
        <v>9</v>
      </c>
      <c r="G10" t="s">
        <v>12</v>
      </c>
      <c r="H10" t="s">
        <v>10</v>
      </c>
      <c r="I10" t="s">
        <v>11</v>
      </c>
      <c r="J10">
        <f t="shared" si="0"/>
        <v>4</v>
      </c>
      <c r="K10">
        <f t="shared" si="1"/>
        <v>2</v>
      </c>
      <c r="L10">
        <f t="shared" si="2"/>
        <v>1</v>
      </c>
      <c r="M10">
        <f t="shared" si="3"/>
        <v>3</v>
      </c>
      <c r="N10">
        <f t="shared" ca="1" si="5"/>
        <v>390</v>
      </c>
      <c r="O10">
        <f t="shared" ca="1" si="6"/>
        <v>234</v>
      </c>
      <c r="P10">
        <f t="shared" ca="1" si="7"/>
        <v>144</v>
      </c>
      <c r="Q10">
        <f t="shared" ca="1" si="8"/>
        <v>314</v>
      </c>
    </row>
    <row r="11" spans="1:17" x14ac:dyDescent="0.25">
      <c r="A11" t="s">
        <v>29</v>
      </c>
      <c r="B11" t="s">
        <v>30</v>
      </c>
      <c r="C11">
        <v>122002</v>
      </c>
      <c r="D11" s="1">
        <v>28.489901</v>
      </c>
      <c r="E11" s="1">
        <v>77.094642000000007</v>
      </c>
      <c r="F11" t="s">
        <v>9</v>
      </c>
      <c r="G11" t="s">
        <v>10</v>
      </c>
      <c r="H11" t="s">
        <v>12</v>
      </c>
      <c r="I11" t="s">
        <v>11</v>
      </c>
      <c r="J11">
        <f t="shared" si="0"/>
        <v>4</v>
      </c>
      <c r="K11">
        <f t="shared" si="1"/>
        <v>3</v>
      </c>
      <c r="L11">
        <f t="shared" si="2"/>
        <v>1</v>
      </c>
      <c r="M11">
        <f t="shared" si="3"/>
        <v>2</v>
      </c>
      <c r="N11">
        <f t="shared" ca="1" si="5"/>
        <v>428</v>
      </c>
      <c r="O11">
        <f t="shared" ca="1" si="6"/>
        <v>256</v>
      </c>
      <c r="P11">
        <f t="shared" ca="1" si="7"/>
        <v>103</v>
      </c>
      <c r="Q11">
        <f t="shared" ca="1" si="8"/>
        <v>195</v>
      </c>
    </row>
    <row r="12" spans="1:17" x14ac:dyDescent="0.25">
      <c r="A12" t="s">
        <v>31</v>
      </c>
      <c r="B12" t="s">
        <v>32</v>
      </c>
      <c r="C12">
        <v>695023</v>
      </c>
      <c r="D12" s="1">
        <v>8.4844961085879493</v>
      </c>
      <c r="E12" s="1">
        <v>76.943864352477604</v>
      </c>
      <c r="F12" t="s">
        <v>9</v>
      </c>
      <c r="G12" t="s">
        <v>10</v>
      </c>
      <c r="H12" t="s">
        <v>12</v>
      </c>
      <c r="I12" t="s">
        <v>11</v>
      </c>
      <c r="J12">
        <f t="shared" si="0"/>
        <v>4</v>
      </c>
      <c r="K12">
        <f t="shared" si="1"/>
        <v>3</v>
      </c>
      <c r="L12">
        <f t="shared" si="2"/>
        <v>1</v>
      </c>
      <c r="M12">
        <f t="shared" si="3"/>
        <v>2</v>
      </c>
      <c r="N12">
        <f t="shared" ca="1" si="5"/>
        <v>448</v>
      </c>
      <c r="O12">
        <f t="shared" ca="1" si="6"/>
        <v>283</v>
      </c>
      <c r="P12">
        <f t="shared" ca="1" si="7"/>
        <v>52</v>
      </c>
      <c r="Q12">
        <f t="shared" ca="1" si="8"/>
        <v>191</v>
      </c>
    </row>
    <row r="13" spans="1:17" x14ac:dyDescent="0.25">
      <c r="A13" t="s">
        <v>33</v>
      </c>
      <c r="B13" t="s">
        <v>18</v>
      </c>
      <c r="C13">
        <v>570009</v>
      </c>
      <c r="D13" s="1">
        <v>12.3001139124883</v>
      </c>
      <c r="E13" s="1">
        <v>76.640747226409502</v>
      </c>
      <c r="F13" t="s">
        <v>10</v>
      </c>
      <c r="G13" t="s">
        <v>9</v>
      </c>
      <c r="H13" t="s">
        <v>12</v>
      </c>
      <c r="I13" t="s">
        <v>11</v>
      </c>
      <c r="J13">
        <f t="shared" si="0"/>
        <v>3</v>
      </c>
      <c r="K13">
        <f t="shared" si="1"/>
        <v>4</v>
      </c>
      <c r="L13">
        <f t="shared" si="2"/>
        <v>1</v>
      </c>
      <c r="M13">
        <f t="shared" si="3"/>
        <v>2</v>
      </c>
      <c r="N13">
        <f t="shared" ca="1" si="5"/>
        <v>323</v>
      </c>
      <c r="O13">
        <f t="shared" ca="1" si="6"/>
        <v>431</v>
      </c>
      <c r="P13">
        <f t="shared" ca="1" si="7"/>
        <v>143</v>
      </c>
      <c r="Q13">
        <f t="shared" ca="1" si="8"/>
        <v>240</v>
      </c>
    </row>
    <row r="14" spans="1:17" x14ac:dyDescent="0.25">
      <c r="A14" t="s">
        <v>34</v>
      </c>
      <c r="B14" t="s">
        <v>35</v>
      </c>
      <c r="C14">
        <v>788004</v>
      </c>
      <c r="D14" s="1">
        <v>24.820982791308602</v>
      </c>
      <c r="E14" s="1">
        <v>92.794222983276796</v>
      </c>
      <c r="F14" t="s">
        <v>9</v>
      </c>
      <c r="G14" t="s">
        <v>10</v>
      </c>
      <c r="H14" t="s">
        <v>12</v>
      </c>
      <c r="I14" t="s">
        <v>11</v>
      </c>
      <c r="J14">
        <f t="shared" si="0"/>
        <v>4</v>
      </c>
      <c r="K14">
        <f t="shared" si="1"/>
        <v>3</v>
      </c>
      <c r="L14">
        <f t="shared" si="2"/>
        <v>1</v>
      </c>
      <c r="M14">
        <f t="shared" si="3"/>
        <v>2</v>
      </c>
      <c r="N14">
        <f t="shared" ca="1" si="5"/>
        <v>354</v>
      </c>
      <c r="O14">
        <f t="shared" ca="1" si="6"/>
        <v>320</v>
      </c>
      <c r="P14">
        <f t="shared" ca="1" si="7"/>
        <v>145</v>
      </c>
      <c r="Q14">
        <f t="shared" ca="1" si="8"/>
        <v>204</v>
      </c>
    </row>
    <row r="15" spans="1:17" x14ac:dyDescent="0.25">
      <c r="A15" t="s">
        <v>36</v>
      </c>
      <c r="B15" t="s">
        <v>37</v>
      </c>
      <c r="C15">
        <v>700026</v>
      </c>
      <c r="D15" s="1">
        <v>22.520068999999999</v>
      </c>
      <c r="E15" s="1">
        <v>88.349311999999998</v>
      </c>
      <c r="F15" t="s">
        <v>11</v>
      </c>
      <c r="G15" t="s">
        <v>10</v>
      </c>
      <c r="H15" t="s">
        <v>9</v>
      </c>
      <c r="I15" t="s">
        <v>12</v>
      </c>
      <c r="J15">
        <f t="shared" si="0"/>
        <v>2</v>
      </c>
      <c r="K15">
        <f t="shared" si="1"/>
        <v>3</v>
      </c>
      <c r="L15">
        <f t="shared" si="2"/>
        <v>4</v>
      </c>
      <c r="M15">
        <f t="shared" si="3"/>
        <v>1</v>
      </c>
      <c r="N15">
        <f t="shared" ca="1" si="5"/>
        <v>206</v>
      </c>
      <c r="O15">
        <f t="shared" ca="1" si="6"/>
        <v>307</v>
      </c>
      <c r="P15">
        <f t="shared" ca="1" si="7"/>
        <v>369</v>
      </c>
      <c r="Q15">
        <f t="shared" ca="1" si="8"/>
        <v>102</v>
      </c>
    </row>
    <row r="16" spans="1:17" x14ac:dyDescent="0.25">
      <c r="A16" t="s">
        <v>38</v>
      </c>
      <c r="B16" t="s">
        <v>39</v>
      </c>
      <c r="C16">
        <v>171002</v>
      </c>
      <c r="D16" s="1">
        <v>31.000411</v>
      </c>
      <c r="E16" s="1">
        <v>77.000416999999999</v>
      </c>
      <c r="F16" t="s">
        <v>10</v>
      </c>
      <c r="G16" t="s">
        <v>9</v>
      </c>
      <c r="H16" t="s">
        <v>12</v>
      </c>
      <c r="I16" t="s">
        <v>11</v>
      </c>
      <c r="J16">
        <f t="shared" si="0"/>
        <v>3</v>
      </c>
      <c r="K16">
        <f t="shared" si="1"/>
        <v>4</v>
      </c>
      <c r="L16">
        <f t="shared" si="2"/>
        <v>1</v>
      </c>
      <c r="M16">
        <f t="shared" si="3"/>
        <v>2</v>
      </c>
      <c r="N16">
        <f t="shared" ca="1" si="5"/>
        <v>318</v>
      </c>
      <c r="O16">
        <f t="shared" ca="1" si="6"/>
        <v>411</v>
      </c>
      <c r="P16">
        <f t="shared" ca="1" si="7"/>
        <v>54</v>
      </c>
      <c r="Q16">
        <f t="shared" ca="1" si="8"/>
        <v>241</v>
      </c>
    </row>
    <row r="17" spans="1:17" x14ac:dyDescent="0.25">
      <c r="A17" t="s">
        <v>40</v>
      </c>
      <c r="B17" t="s">
        <v>41</v>
      </c>
      <c r="C17">
        <v>535002</v>
      </c>
      <c r="D17" s="1">
        <v>18.101223999999998</v>
      </c>
      <c r="E17" s="1">
        <v>83.408194000000009</v>
      </c>
      <c r="F17" t="s">
        <v>9</v>
      </c>
      <c r="G17" t="s">
        <v>11</v>
      </c>
      <c r="H17" t="s">
        <v>12</v>
      </c>
      <c r="I17" t="s">
        <v>10</v>
      </c>
      <c r="J17">
        <f t="shared" si="0"/>
        <v>4</v>
      </c>
      <c r="K17">
        <f t="shared" si="1"/>
        <v>1</v>
      </c>
      <c r="L17">
        <f t="shared" si="2"/>
        <v>3</v>
      </c>
      <c r="M17">
        <f t="shared" si="3"/>
        <v>2</v>
      </c>
      <c r="N17">
        <f t="shared" ca="1" si="5"/>
        <v>415</v>
      </c>
      <c r="O17">
        <f t="shared" ca="1" si="6"/>
        <v>111</v>
      </c>
      <c r="P17">
        <f t="shared" ca="1" si="7"/>
        <v>335</v>
      </c>
      <c r="Q17">
        <f t="shared" ca="1" si="8"/>
        <v>210</v>
      </c>
    </row>
    <row r="18" spans="1:17" x14ac:dyDescent="0.25">
      <c r="A18" t="s">
        <v>42</v>
      </c>
      <c r="B18" t="s">
        <v>30</v>
      </c>
      <c r="C18">
        <v>132103</v>
      </c>
      <c r="D18" s="1">
        <v>29.399319000000002</v>
      </c>
      <c r="E18" s="1">
        <v>76.977378999999999</v>
      </c>
      <c r="F18" t="s">
        <v>9</v>
      </c>
      <c r="G18" t="s">
        <v>10</v>
      </c>
      <c r="H18" t="s">
        <v>12</v>
      </c>
      <c r="I18" t="s">
        <v>11</v>
      </c>
      <c r="J18">
        <f t="shared" si="0"/>
        <v>4</v>
      </c>
      <c r="K18">
        <f t="shared" si="1"/>
        <v>3</v>
      </c>
      <c r="L18">
        <f t="shared" si="2"/>
        <v>1</v>
      </c>
      <c r="M18">
        <f t="shared" si="3"/>
        <v>2</v>
      </c>
      <c r="N18">
        <f t="shared" ca="1" si="5"/>
        <v>421</v>
      </c>
      <c r="O18">
        <f t="shared" ca="1" si="6"/>
        <v>303</v>
      </c>
      <c r="P18">
        <f t="shared" ca="1" si="7"/>
        <v>87</v>
      </c>
      <c r="Q18">
        <f t="shared" ca="1" si="8"/>
        <v>202</v>
      </c>
    </row>
    <row r="19" spans="1:17" x14ac:dyDescent="0.25">
      <c r="A19" t="s">
        <v>43</v>
      </c>
      <c r="B19" t="s">
        <v>44</v>
      </c>
      <c r="C19">
        <v>600042</v>
      </c>
      <c r="D19" s="1">
        <v>12.978738699999999</v>
      </c>
      <c r="E19" s="1">
        <v>80.214183300000002</v>
      </c>
      <c r="F19" t="s">
        <v>9</v>
      </c>
      <c r="G19" t="s">
        <v>12</v>
      </c>
      <c r="H19" t="s">
        <v>11</v>
      </c>
      <c r="I19" t="s">
        <v>10</v>
      </c>
      <c r="J19">
        <f t="shared" si="0"/>
        <v>4</v>
      </c>
      <c r="K19">
        <f t="shared" si="1"/>
        <v>1</v>
      </c>
      <c r="L19">
        <f t="shared" si="2"/>
        <v>2</v>
      </c>
      <c r="M19">
        <f t="shared" si="3"/>
        <v>3</v>
      </c>
      <c r="N19">
        <f t="shared" ca="1" si="5"/>
        <v>408</v>
      </c>
      <c r="O19">
        <f t="shared" ca="1" si="6"/>
        <v>144</v>
      </c>
      <c r="P19">
        <f t="shared" ca="1" si="7"/>
        <v>187</v>
      </c>
      <c r="Q19">
        <f t="shared" ca="1" si="8"/>
        <v>314</v>
      </c>
    </row>
    <row r="20" spans="1:17" x14ac:dyDescent="0.25">
      <c r="A20" t="s">
        <v>45</v>
      </c>
      <c r="B20" t="s">
        <v>41</v>
      </c>
      <c r="C20">
        <v>530007</v>
      </c>
      <c r="D20" s="1">
        <v>17.745604</v>
      </c>
      <c r="E20" s="1">
        <v>83.268912</v>
      </c>
      <c r="F20" t="s">
        <v>11</v>
      </c>
      <c r="G20" t="s">
        <v>10</v>
      </c>
      <c r="H20" t="s">
        <v>12</v>
      </c>
      <c r="I20" t="s">
        <v>9</v>
      </c>
      <c r="J20">
        <f t="shared" si="0"/>
        <v>1</v>
      </c>
      <c r="K20">
        <f t="shared" si="1"/>
        <v>3</v>
      </c>
      <c r="L20">
        <f t="shared" si="2"/>
        <v>4</v>
      </c>
      <c r="M20">
        <f t="shared" si="3"/>
        <v>2</v>
      </c>
      <c r="N20">
        <f t="shared" ca="1" si="5"/>
        <v>130</v>
      </c>
      <c r="O20">
        <f t="shared" ca="1" si="6"/>
        <v>315</v>
      </c>
      <c r="P20">
        <f t="shared" ca="1" si="7"/>
        <v>361</v>
      </c>
      <c r="Q20">
        <f t="shared" ca="1" si="8"/>
        <v>246</v>
      </c>
    </row>
    <row r="21" spans="1:17" x14ac:dyDescent="0.25">
      <c r="A21" t="s">
        <v>46</v>
      </c>
      <c r="B21" t="s">
        <v>24</v>
      </c>
      <c r="C21">
        <v>411043</v>
      </c>
      <c r="D21" s="1">
        <v>18.4645780102054</v>
      </c>
      <c r="E21" s="1">
        <v>73.862316186684197</v>
      </c>
      <c r="F21" t="s">
        <v>12</v>
      </c>
      <c r="G21" t="s">
        <v>9</v>
      </c>
      <c r="H21" t="s">
        <v>10</v>
      </c>
      <c r="I21" t="s">
        <v>11</v>
      </c>
      <c r="J21">
        <f t="shared" si="0"/>
        <v>3</v>
      </c>
      <c r="K21">
        <f t="shared" si="1"/>
        <v>2</v>
      </c>
      <c r="L21">
        <f t="shared" si="2"/>
        <v>1</v>
      </c>
      <c r="M21">
        <f t="shared" si="3"/>
        <v>4</v>
      </c>
      <c r="N21">
        <f t="shared" ca="1" si="5"/>
        <v>332</v>
      </c>
      <c r="O21">
        <f t="shared" ca="1" si="6"/>
        <v>238</v>
      </c>
      <c r="P21">
        <f t="shared" ca="1" si="7"/>
        <v>82</v>
      </c>
      <c r="Q21">
        <f t="shared" ca="1" si="8"/>
        <v>371</v>
      </c>
    </row>
    <row r="22" spans="1:17" x14ac:dyDescent="0.25">
      <c r="A22" t="s">
        <v>47</v>
      </c>
      <c r="B22" t="s">
        <v>48</v>
      </c>
      <c r="C22">
        <v>500044</v>
      </c>
      <c r="D22" s="1">
        <v>17.4066774</v>
      </c>
      <c r="E22" s="1">
        <v>78.514037799999997</v>
      </c>
      <c r="F22" t="s">
        <v>12</v>
      </c>
      <c r="G22" t="s">
        <v>9</v>
      </c>
      <c r="H22" t="s">
        <v>10</v>
      </c>
      <c r="I22" t="s">
        <v>11</v>
      </c>
      <c r="J22">
        <f t="shared" si="0"/>
        <v>3</v>
      </c>
      <c r="K22">
        <f t="shared" si="1"/>
        <v>2</v>
      </c>
      <c r="L22">
        <f t="shared" si="2"/>
        <v>1</v>
      </c>
      <c r="M22">
        <f t="shared" si="3"/>
        <v>4</v>
      </c>
      <c r="N22">
        <f t="shared" ca="1" si="5"/>
        <v>321</v>
      </c>
      <c r="O22">
        <f t="shared" ca="1" si="6"/>
        <v>219</v>
      </c>
      <c r="P22">
        <f t="shared" ca="1" si="7"/>
        <v>101</v>
      </c>
      <c r="Q22">
        <f t="shared" ca="1" si="8"/>
        <v>410</v>
      </c>
    </row>
    <row r="23" spans="1:17" x14ac:dyDescent="0.25">
      <c r="A23" t="s">
        <v>49</v>
      </c>
      <c r="B23" t="s">
        <v>50</v>
      </c>
      <c r="C23">
        <v>765022</v>
      </c>
      <c r="D23" s="1">
        <v>19.068519999999999</v>
      </c>
      <c r="E23" s="1">
        <v>83.818535999999995</v>
      </c>
      <c r="F23" t="s">
        <v>9</v>
      </c>
      <c r="G23" t="s">
        <v>10</v>
      </c>
      <c r="H23" t="s">
        <v>12</v>
      </c>
      <c r="I23" t="s">
        <v>11</v>
      </c>
      <c r="J23">
        <f t="shared" si="0"/>
        <v>4</v>
      </c>
      <c r="K23">
        <f t="shared" si="1"/>
        <v>3</v>
      </c>
      <c r="L23">
        <f t="shared" si="2"/>
        <v>1</v>
      </c>
      <c r="M23">
        <f t="shared" si="3"/>
        <v>2</v>
      </c>
      <c r="N23">
        <f t="shared" ca="1" si="5"/>
        <v>420</v>
      </c>
      <c r="O23">
        <f t="shared" ca="1" si="6"/>
        <v>350</v>
      </c>
      <c r="P23">
        <f t="shared" ca="1" si="7"/>
        <v>107</v>
      </c>
      <c r="Q23">
        <f t="shared" ca="1" si="8"/>
        <v>223</v>
      </c>
    </row>
    <row r="24" spans="1:17" x14ac:dyDescent="0.25">
      <c r="A24" t="s">
        <v>51</v>
      </c>
      <c r="B24" t="s">
        <v>44</v>
      </c>
      <c r="C24">
        <v>600093</v>
      </c>
      <c r="D24" s="1">
        <v>13.003511999999999</v>
      </c>
      <c r="E24" s="1">
        <v>80.210928999999993</v>
      </c>
      <c r="F24" t="s">
        <v>9</v>
      </c>
      <c r="G24" t="s">
        <v>12</v>
      </c>
      <c r="H24" t="s">
        <v>10</v>
      </c>
      <c r="I24" t="s">
        <v>11</v>
      </c>
      <c r="J24">
        <f t="shared" si="0"/>
        <v>4</v>
      </c>
      <c r="K24">
        <f t="shared" si="1"/>
        <v>2</v>
      </c>
      <c r="L24">
        <f t="shared" si="2"/>
        <v>1</v>
      </c>
      <c r="M24">
        <f t="shared" si="3"/>
        <v>3</v>
      </c>
      <c r="N24">
        <f t="shared" ref="N24:N87" ca="1" si="9">IF(J24=4,RANDBETWEEN(350,450),IF(J24=3,RANDBETWEEN(250,350),IF(J24=2,RANDBETWEEN(150,250), RANDBETWEEN(50,150))))</f>
        <v>408</v>
      </c>
      <c r="O24">
        <f t="shared" ref="O24:O87" ca="1" si="10">IF(K24=4,RANDBETWEEN(350,450),IF(K24=3,RANDBETWEEN(250,350),IF(K24=2,RANDBETWEEN(150,250), RANDBETWEEN(50,150))))</f>
        <v>247</v>
      </c>
      <c r="P24">
        <f t="shared" ref="P24:P87" ca="1" si="11">IF(L24=4,RANDBETWEEN(350,450),IF(L24=3,RANDBETWEEN(250,350),IF(L24=2,RANDBETWEEN(150,250), RANDBETWEEN(50,150))))</f>
        <v>114</v>
      </c>
      <c r="Q24">
        <f t="shared" ref="Q24:Q87" ca="1" si="12">IF(M24=4,RANDBETWEEN(350,450),IF(M24=3,RANDBETWEEN(250,350),IF(M24=2,RANDBETWEEN(150,250), RANDBETWEEN(50,150))))</f>
        <v>330</v>
      </c>
    </row>
    <row r="25" spans="1:17" x14ac:dyDescent="0.25">
      <c r="A25" t="s">
        <v>52</v>
      </c>
      <c r="B25" t="s">
        <v>53</v>
      </c>
      <c r="C25">
        <v>482001</v>
      </c>
      <c r="D25" s="1">
        <v>23.145566000000002</v>
      </c>
      <c r="E25" s="1">
        <v>79.904792999999998</v>
      </c>
      <c r="F25" t="s">
        <v>9</v>
      </c>
      <c r="G25" t="s">
        <v>12</v>
      </c>
      <c r="H25" t="s">
        <v>10</v>
      </c>
      <c r="I25" t="s">
        <v>11</v>
      </c>
      <c r="J25">
        <f t="shared" si="0"/>
        <v>4</v>
      </c>
      <c r="K25">
        <f t="shared" si="1"/>
        <v>2</v>
      </c>
      <c r="L25">
        <f t="shared" si="2"/>
        <v>1</v>
      </c>
      <c r="M25">
        <f t="shared" si="3"/>
        <v>3</v>
      </c>
      <c r="N25">
        <f t="shared" ca="1" si="9"/>
        <v>375</v>
      </c>
      <c r="O25">
        <f t="shared" ca="1" si="10"/>
        <v>243</v>
      </c>
      <c r="P25">
        <f t="shared" ca="1" si="11"/>
        <v>124</v>
      </c>
      <c r="Q25">
        <f t="shared" ca="1" si="12"/>
        <v>291</v>
      </c>
    </row>
    <row r="26" spans="1:17" x14ac:dyDescent="0.25">
      <c r="A26" t="s">
        <v>54</v>
      </c>
      <c r="B26" t="s">
        <v>41</v>
      </c>
      <c r="C26">
        <v>517502</v>
      </c>
      <c r="D26" s="1">
        <v>13.629552</v>
      </c>
      <c r="E26" s="1">
        <v>79.425297999999998</v>
      </c>
      <c r="F26" t="s">
        <v>9</v>
      </c>
      <c r="G26" t="s">
        <v>10</v>
      </c>
      <c r="H26" t="s">
        <v>12</v>
      </c>
      <c r="I26" t="s">
        <v>11</v>
      </c>
      <c r="J26">
        <f t="shared" si="0"/>
        <v>4</v>
      </c>
      <c r="K26">
        <f t="shared" si="1"/>
        <v>3</v>
      </c>
      <c r="L26">
        <f t="shared" si="2"/>
        <v>1</v>
      </c>
      <c r="M26">
        <f t="shared" si="3"/>
        <v>2</v>
      </c>
      <c r="N26">
        <f t="shared" ca="1" si="9"/>
        <v>414</v>
      </c>
      <c r="O26">
        <f t="shared" ca="1" si="10"/>
        <v>307</v>
      </c>
      <c r="P26">
        <f t="shared" ca="1" si="11"/>
        <v>103</v>
      </c>
      <c r="Q26">
        <f t="shared" ca="1" si="12"/>
        <v>243</v>
      </c>
    </row>
    <row r="27" spans="1:17" x14ac:dyDescent="0.25">
      <c r="A27" t="s">
        <v>55</v>
      </c>
      <c r="B27" t="s">
        <v>28</v>
      </c>
      <c r="C27">
        <v>244901</v>
      </c>
      <c r="D27" s="1">
        <v>28.777746</v>
      </c>
      <c r="E27" s="1">
        <v>79.017244000000005</v>
      </c>
      <c r="F27" t="s">
        <v>12</v>
      </c>
      <c r="G27" t="s">
        <v>9</v>
      </c>
      <c r="H27" t="s">
        <v>10</v>
      </c>
      <c r="I27" t="s">
        <v>11</v>
      </c>
      <c r="J27">
        <f t="shared" si="0"/>
        <v>3</v>
      </c>
      <c r="K27">
        <f t="shared" si="1"/>
        <v>2</v>
      </c>
      <c r="L27">
        <f t="shared" si="2"/>
        <v>1</v>
      </c>
      <c r="M27">
        <f t="shared" si="3"/>
        <v>4</v>
      </c>
      <c r="N27">
        <f t="shared" ca="1" si="9"/>
        <v>320</v>
      </c>
      <c r="O27">
        <f t="shared" ca="1" si="10"/>
        <v>162</v>
      </c>
      <c r="P27">
        <f t="shared" ca="1" si="11"/>
        <v>141</v>
      </c>
      <c r="Q27">
        <f t="shared" ca="1" si="12"/>
        <v>355</v>
      </c>
    </row>
    <row r="28" spans="1:17" x14ac:dyDescent="0.25">
      <c r="A28" t="s">
        <v>56</v>
      </c>
      <c r="B28" t="s">
        <v>28</v>
      </c>
      <c r="C28">
        <v>221101</v>
      </c>
      <c r="D28" s="1">
        <v>26.934343399999999</v>
      </c>
      <c r="E28" s="1">
        <v>80.899547799999993</v>
      </c>
      <c r="F28" t="s">
        <v>9</v>
      </c>
      <c r="G28" t="s">
        <v>10</v>
      </c>
      <c r="H28" t="s">
        <v>12</v>
      </c>
      <c r="I28" t="s">
        <v>11</v>
      </c>
      <c r="J28">
        <f t="shared" si="0"/>
        <v>4</v>
      </c>
      <c r="K28">
        <f t="shared" si="1"/>
        <v>3</v>
      </c>
      <c r="L28">
        <f t="shared" si="2"/>
        <v>1</v>
      </c>
      <c r="M28">
        <f t="shared" si="3"/>
        <v>2</v>
      </c>
      <c r="N28">
        <f t="shared" ca="1" si="9"/>
        <v>386</v>
      </c>
      <c r="O28">
        <f t="shared" ca="1" si="10"/>
        <v>339</v>
      </c>
      <c r="P28">
        <f t="shared" ca="1" si="11"/>
        <v>131</v>
      </c>
      <c r="Q28">
        <f t="shared" ca="1" si="12"/>
        <v>227</v>
      </c>
    </row>
    <row r="29" spans="1:17" x14ac:dyDescent="0.25">
      <c r="A29" t="s">
        <v>57</v>
      </c>
      <c r="B29" t="s">
        <v>58</v>
      </c>
      <c r="C29">
        <v>500008</v>
      </c>
      <c r="D29" s="1">
        <v>17.40541</v>
      </c>
      <c r="E29" s="1">
        <v>78.398616000000004</v>
      </c>
      <c r="F29" t="s">
        <v>10</v>
      </c>
      <c r="G29" t="s">
        <v>9</v>
      </c>
      <c r="H29" t="s">
        <v>12</v>
      </c>
      <c r="I29" t="s">
        <v>11</v>
      </c>
      <c r="J29">
        <f t="shared" si="0"/>
        <v>3</v>
      </c>
      <c r="K29">
        <f t="shared" si="1"/>
        <v>4</v>
      </c>
      <c r="L29">
        <f t="shared" si="2"/>
        <v>1</v>
      </c>
      <c r="M29">
        <f t="shared" si="3"/>
        <v>2</v>
      </c>
      <c r="N29">
        <f t="shared" ca="1" si="9"/>
        <v>282</v>
      </c>
      <c r="O29">
        <f t="shared" ca="1" si="10"/>
        <v>363</v>
      </c>
      <c r="P29">
        <f t="shared" ca="1" si="11"/>
        <v>99</v>
      </c>
      <c r="Q29">
        <f t="shared" ca="1" si="12"/>
        <v>160</v>
      </c>
    </row>
    <row r="30" spans="1:17" x14ac:dyDescent="0.25">
      <c r="A30" t="s">
        <v>59</v>
      </c>
      <c r="B30" t="s">
        <v>28</v>
      </c>
      <c r="C30">
        <v>226013</v>
      </c>
      <c r="D30" s="1">
        <v>26.935103999999999</v>
      </c>
      <c r="E30" s="1">
        <v>80.898863999999989</v>
      </c>
      <c r="F30" t="s">
        <v>9</v>
      </c>
      <c r="G30" t="s">
        <v>10</v>
      </c>
      <c r="H30" t="s">
        <v>11</v>
      </c>
      <c r="I30" t="s">
        <v>12</v>
      </c>
      <c r="J30">
        <f t="shared" si="0"/>
        <v>4</v>
      </c>
      <c r="K30">
        <f t="shared" si="1"/>
        <v>3</v>
      </c>
      <c r="L30">
        <f t="shared" si="2"/>
        <v>2</v>
      </c>
      <c r="M30">
        <f t="shared" si="3"/>
        <v>1</v>
      </c>
      <c r="N30">
        <f t="shared" ca="1" si="9"/>
        <v>381</v>
      </c>
      <c r="O30">
        <f t="shared" ca="1" si="10"/>
        <v>274</v>
      </c>
      <c r="P30">
        <f t="shared" ca="1" si="11"/>
        <v>201</v>
      </c>
      <c r="Q30">
        <f t="shared" ca="1" si="12"/>
        <v>145</v>
      </c>
    </row>
    <row r="31" spans="1:17" x14ac:dyDescent="0.25">
      <c r="A31" t="s">
        <v>60</v>
      </c>
      <c r="B31" t="s">
        <v>61</v>
      </c>
      <c r="C31">
        <v>395007</v>
      </c>
      <c r="D31" s="1">
        <v>23.219854000000002</v>
      </c>
      <c r="E31" s="1">
        <v>72.635355000000004</v>
      </c>
      <c r="F31" t="s">
        <v>9</v>
      </c>
      <c r="G31" t="s">
        <v>12</v>
      </c>
      <c r="H31" t="s">
        <v>10</v>
      </c>
      <c r="I31" t="s">
        <v>11</v>
      </c>
      <c r="J31">
        <f t="shared" si="0"/>
        <v>4</v>
      </c>
      <c r="K31">
        <f t="shared" si="1"/>
        <v>2</v>
      </c>
      <c r="L31">
        <f t="shared" si="2"/>
        <v>1</v>
      </c>
      <c r="M31">
        <f t="shared" si="3"/>
        <v>3</v>
      </c>
      <c r="N31">
        <f t="shared" ca="1" si="9"/>
        <v>365</v>
      </c>
      <c r="O31">
        <f t="shared" ca="1" si="10"/>
        <v>243</v>
      </c>
      <c r="P31">
        <f t="shared" ca="1" si="11"/>
        <v>84</v>
      </c>
      <c r="Q31">
        <f t="shared" ca="1" si="12"/>
        <v>250</v>
      </c>
    </row>
    <row r="32" spans="1:17" x14ac:dyDescent="0.25">
      <c r="A32" t="s">
        <v>62</v>
      </c>
      <c r="B32" t="s">
        <v>53</v>
      </c>
      <c r="C32">
        <v>450001</v>
      </c>
      <c r="D32" s="1">
        <v>21.000527999999999</v>
      </c>
      <c r="E32" s="1">
        <v>76.000783999999996</v>
      </c>
      <c r="F32" t="s">
        <v>10</v>
      </c>
      <c r="G32" t="s">
        <v>9</v>
      </c>
      <c r="H32" t="s">
        <v>12</v>
      </c>
      <c r="I32" t="s">
        <v>11</v>
      </c>
      <c r="J32">
        <f t="shared" si="0"/>
        <v>3</v>
      </c>
      <c r="K32">
        <f t="shared" si="1"/>
        <v>4</v>
      </c>
      <c r="L32">
        <f t="shared" si="2"/>
        <v>1</v>
      </c>
      <c r="M32">
        <f t="shared" si="3"/>
        <v>2</v>
      </c>
      <c r="N32">
        <f t="shared" ca="1" si="9"/>
        <v>282</v>
      </c>
      <c r="O32">
        <f t="shared" ca="1" si="10"/>
        <v>380</v>
      </c>
      <c r="P32">
        <f t="shared" ca="1" si="11"/>
        <v>85</v>
      </c>
      <c r="Q32">
        <f t="shared" ca="1" si="12"/>
        <v>211</v>
      </c>
    </row>
    <row r="33" spans="1:17" x14ac:dyDescent="0.25">
      <c r="A33" t="s">
        <v>63</v>
      </c>
      <c r="B33" t="s">
        <v>28</v>
      </c>
      <c r="C33">
        <v>245101</v>
      </c>
      <c r="D33" s="1">
        <v>28.73376</v>
      </c>
      <c r="E33" s="1">
        <v>77.780400899999989</v>
      </c>
      <c r="F33" t="s">
        <v>9</v>
      </c>
      <c r="G33" t="s">
        <v>12</v>
      </c>
      <c r="H33" t="s">
        <v>10</v>
      </c>
      <c r="I33" t="s">
        <v>11</v>
      </c>
      <c r="J33">
        <f t="shared" si="0"/>
        <v>4</v>
      </c>
      <c r="K33">
        <f t="shared" si="1"/>
        <v>2</v>
      </c>
      <c r="L33">
        <f t="shared" si="2"/>
        <v>1</v>
      </c>
      <c r="M33">
        <f t="shared" si="3"/>
        <v>3</v>
      </c>
      <c r="N33">
        <f t="shared" ca="1" si="9"/>
        <v>368</v>
      </c>
      <c r="O33">
        <f t="shared" ca="1" si="10"/>
        <v>220</v>
      </c>
      <c r="P33">
        <f t="shared" ca="1" si="11"/>
        <v>68</v>
      </c>
      <c r="Q33">
        <f t="shared" ca="1" si="12"/>
        <v>331</v>
      </c>
    </row>
    <row r="34" spans="1:17" x14ac:dyDescent="0.25">
      <c r="A34" t="s">
        <v>64</v>
      </c>
      <c r="B34" t="s">
        <v>44</v>
      </c>
      <c r="C34">
        <v>641007</v>
      </c>
      <c r="D34" s="1">
        <v>11.006931000000002</v>
      </c>
      <c r="E34" s="1">
        <v>76.913217000000003</v>
      </c>
      <c r="F34" t="s">
        <v>10</v>
      </c>
      <c r="G34" t="s">
        <v>12</v>
      </c>
      <c r="H34" t="s">
        <v>9</v>
      </c>
      <c r="I34" t="s">
        <v>11</v>
      </c>
      <c r="J34">
        <f t="shared" ref="J34:J65" si="13">IF(F34="Electronics",4,IF(G34="Electronics",3,IF(H34="Electronics",2,IF(I34="Electronics",1,0))))</f>
        <v>2</v>
      </c>
      <c r="K34">
        <f t="shared" ref="K34:K65" si="14">IF(F34="Apparel",4,IF(G34="Apparel",3,IF(H34="Apparel",2,IF(I34="Apparel",1,0))))</f>
        <v>4</v>
      </c>
      <c r="L34">
        <f t="shared" ref="L34:L65" si="15">IF(F34="Grocery",4,IF(G34="Grocery",3,IF(H34="Grocery",2,IF(I34="Grocery",1,0))))</f>
        <v>1</v>
      </c>
      <c r="M34">
        <f t="shared" ref="M34:M65" si="16">IF(F34="Books",4,IF(G34="Books",3,IF(H34="Books",2,IF(I34="Books",1,0))))</f>
        <v>3</v>
      </c>
      <c r="N34">
        <f t="shared" ca="1" si="9"/>
        <v>197</v>
      </c>
      <c r="O34">
        <f t="shared" ca="1" si="10"/>
        <v>377</v>
      </c>
      <c r="P34">
        <f t="shared" ca="1" si="11"/>
        <v>112</v>
      </c>
      <c r="Q34">
        <f t="shared" ca="1" si="12"/>
        <v>281</v>
      </c>
    </row>
    <row r="35" spans="1:17" x14ac:dyDescent="0.25">
      <c r="A35" t="s">
        <v>65</v>
      </c>
      <c r="B35" t="s">
        <v>28</v>
      </c>
      <c r="C35">
        <v>241406</v>
      </c>
      <c r="D35" s="1">
        <v>27.626237400000001</v>
      </c>
      <c r="E35" s="1">
        <v>80.197874799999994</v>
      </c>
      <c r="F35" t="s">
        <v>9</v>
      </c>
      <c r="G35" t="s">
        <v>10</v>
      </c>
      <c r="H35" t="s">
        <v>12</v>
      </c>
      <c r="I35" t="s">
        <v>11</v>
      </c>
      <c r="J35">
        <f t="shared" si="13"/>
        <v>4</v>
      </c>
      <c r="K35">
        <f t="shared" si="14"/>
        <v>3</v>
      </c>
      <c r="L35">
        <f t="shared" si="15"/>
        <v>1</v>
      </c>
      <c r="M35">
        <f t="shared" si="16"/>
        <v>2</v>
      </c>
      <c r="N35">
        <f t="shared" ca="1" si="9"/>
        <v>441</v>
      </c>
      <c r="O35">
        <f t="shared" ca="1" si="10"/>
        <v>324</v>
      </c>
      <c r="P35">
        <f t="shared" ca="1" si="11"/>
        <v>58</v>
      </c>
      <c r="Q35">
        <f t="shared" ca="1" si="12"/>
        <v>236</v>
      </c>
    </row>
    <row r="36" spans="1:17" x14ac:dyDescent="0.25">
      <c r="A36" t="s">
        <v>66</v>
      </c>
      <c r="B36" t="s">
        <v>30</v>
      </c>
      <c r="C36">
        <v>135003</v>
      </c>
      <c r="D36" s="1">
        <v>30.1466644999999</v>
      </c>
      <c r="E36" s="1">
        <v>77.295330842328198</v>
      </c>
      <c r="F36" t="s">
        <v>10</v>
      </c>
      <c r="G36" t="s">
        <v>12</v>
      </c>
      <c r="H36" t="s">
        <v>9</v>
      </c>
      <c r="I36" t="s">
        <v>11</v>
      </c>
      <c r="J36">
        <f t="shared" si="13"/>
        <v>2</v>
      </c>
      <c r="K36">
        <f t="shared" si="14"/>
        <v>4</v>
      </c>
      <c r="L36">
        <f t="shared" si="15"/>
        <v>1</v>
      </c>
      <c r="M36">
        <f t="shared" si="16"/>
        <v>3</v>
      </c>
      <c r="N36">
        <f t="shared" ca="1" si="9"/>
        <v>200</v>
      </c>
      <c r="O36">
        <f t="shared" ca="1" si="10"/>
        <v>430</v>
      </c>
      <c r="P36">
        <f t="shared" ca="1" si="11"/>
        <v>59</v>
      </c>
      <c r="Q36">
        <f t="shared" ca="1" si="12"/>
        <v>291</v>
      </c>
    </row>
    <row r="37" spans="1:17" x14ac:dyDescent="0.25">
      <c r="A37" t="s">
        <v>67</v>
      </c>
      <c r="B37" t="s">
        <v>68</v>
      </c>
      <c r="C37">
        <v>247667</v>
      </c>
      <c r="D37" s="1">
        <v>29.87838</v>
      </c>
      <c r="E37" s="1">
        <v>77.886026000000001</v>
      </c>
      <c r="F37" t="s">
        <v>10</v>
      </c>
      <c r="G37" t="s">
        <v>11</v>
      </c>
      <c r="H37" t="s">
        <v>12</v>
      </c>
      <c r="I37" t="s">
        <v>9</v>
      </c>
      <c r="J37">
        <f t="shared" si="13"/>
        <v>1</v>
      </c>
      <c r="K37">
        <f t="shared" si="14"/>
        <v>4</v>
      </c>
      <c r="L37">
        <f t="shared" si="15"/>
        <v>3</v>
      </c>
      <c r="M37">
        <f t="shared" si="16"/>
        <v>2</v>
      </c>
      <c r="N37">
        <f t="shared" ca="1" si="9"/>
        <v>136</v>
      </c>
      <c r="O37">
        <f t="shared" ca="1" si="10"/>
        <v>379</v>
      </c>
      <c r="P37">
        <f t="shared" ca="1" si="11"/>
        <v>348</v>
      </c>
      <c r="Q37">
        <f t="shared" ca="1" si="12"/>
        <v>173</v>
      </c>
    </row>
    <row r="38" spans="1:17" x14ac:dyDescent="0.25">
      <c r="A38" t="s">
        <v>69</v>
      </c>
      <c r="B38" t="s">
        <v>70</v>
      </c>
      <c r="C38">
        <v>302034</v>
      </c>
      <c r="D38" s="1">
        <v>26.926159000000002</v>
      </c>
      <c r="E38" s="1">
        <v>75.709752000000009</v>
      </c>
      <c r="F38" t="s">
        <v>9</v>
      </c>
      <c r="G38" t="s">
        <v>10</v>
      </c>
      <c r="H38" t="s">
        <v>11</v>
      </c>
      <c r="I38" t="s">
        <v>12</v>
      </c>
      <c r="J38">
        <f t="shared" si="13"/>
        <v>4</v>
      </c>
      <c r="K38">
        <f t="shared" si="14"/>
        <v>3</v>
      </c>
      <c r="L38">
        <f t="shared" si="15"/>
        <v>2</v>
      </c>
      <c r="M38">
        <f t="shared" si="16"/>
        <v>1</v>
      </c>
      <c r="N38">
        <f t="shared" ca="1" si="9"/>
        <v>442</v>
      </c>
      <c r="O38">
        <f t="shared" ca="1" si="10"/>
        <v>272</v>
      </c>
      <c r="P38">
        <f t="shared" ca="1" si="11"/>
        <v>229</v>
      </c>
      <c r="Q38">
        <f t="shared" ca="1" si="12"/>
        <v>147</v>
      </c>
    </row>
    <row r="39" spans="1:17" x14ac:dyDescent="0.25">
      <c r="A39" t="s">
        <v>71</v>
      </c>
      <c r="B39" t="s">
        <v>58</v>
      </c>
      <c r="C39">
        <v>500085</v>
      </c>
      <c r="D39" s="1">
        <v>17.482827419628801</v>
      </c>
      <c r="E39" s="1">
        <v>78.391090983793404</v>
      </c>
      <c r="F39" t="s">
        <v>12</v>
      </c>
      <c r="G39" t="s">
        <v>9</v>
      </c>
      <c r="H39" t="s">
        <v>10</v>
      </c>
      <c r="I39" t="s">
        <v>11</v>
      </c>
      <c r="J39">
        <f t="shared" si="13"/>
        <v>3</v>
      </c>
      <c r="K39">
        <f t="shared" si="14"/>
        <v>2</v>
      </c>
      <c r="L39">
        <f t="shared" si="15"/>
        <v>1</v>
      </c>
      <c r="M39">
        <f t="shared" si="16"/>
        <v>4</v>
      </c>
      <c r="N39">
        <f t="shared" ca="1" si="9"/>
        <v>348</v>
      </c>
      <c r="O39">
        <f t="shared" ca="1" si="10"/>
        <v>213</v>
      </c>
      <c r="P39">
        <f t="shared" ca="1" si="11"/>
        <v>56</v>
      </c>
      <c r="Q39">
        <f t="shared" ca="1" si="12"/>
        <v>402</v>
      </c>
    </row>
    <row r="40" spans="1:17" x14ac:dyDescent="0.25">
      <c r="A40" t="s">
        <v>72</v>
      </c>
      <c r="B40" t="s">
        <v>61</v>
      </c>
      <c r="C40">
        <v>382165</v>
      </c>
      <c r="D40" s="1">
        <v>23.283498000000002</v>
      </c>
      <c r="E40" s="1">
        <v>72.324085999999994</v>
      </c>
      <c r="F40" t="s">
        <v>9</v>
      </c>
      <c r="G40" t="s">
        <v>12</v>
      </c>
      <c r="H40" t="s">
        <v>10</v>
      </c>
      <c r="I40" t="s">
        <v>11</v>
      </c>
      <c r="J40">
        <f t="shared" si="13"/>
        <v>4</v>
      </c>
      <c r="K40">
        <f t="shared" si="14"/>
        <v>2</v>
      </c>
      <c r="L40">
        <f t="shared" si="15"/>
        <v>1</v>
      </c>
      <c r="M40">
        <f t="shared" si="16"/>
        <v>3</v>
      </c>
      <c r="N40">
        <f t="shared" ca="1" si="9"/>
        <v>435</v>
      </c>
      <c r="O40">
        <f t="shared" ca="1" si="10"/>
        <v>216</v>
      </c>
      <c r="P40">
        <f t="shared" ca="1" si="11"/>
        <v>147</v>
      </c>
      <c r="Q40">
        <f t="shared" ca="1" si="12"/>
        <v>275</v>
      </c>
    </row>
    <row r="41" spans="1:17" x14ac:dyDescent="0.25">
      <c r="A41" t="s">
        <v>73</v>
      </c>
      <c r="B41" t="s">
        <v>28</v>
      </c>
      <c r="C41">
        <v>226013</v>
      </c>
      <c r="D41" s="1">
        <v>26.936394999999997</v>
      </c>
      <c r="E41" s="1">
        <v>80.899922000000004</v>
      </c>
      <c r="F41" t="s">
        <v>10</v>
      </c>
      <c r="G41" t="s">
        <v>9</v>
      </c>
      <c r="H41" t="s">
        <v>12</v>
      </c>
      <c r="I41" t="s">
        <v>11</v>
      </c>
      <c r="J41">
        <f t="shared" si="13"/>
        <v>3</v>
      </c>
      <c r="K41">
        <f t="shared" si="14"/>
        <v>4</v>
      </c>
      <c r="L41">
        <f t="shared" si="15"/>
        <v>1</v>
      </c>
      <c r="M41">
        <f t="shared" si="16"/>
        <v>2</v>
      </c>
      <c r="N41">
        <f t="shared" ca="1" si="9"/>
        <v>298</v>
      </c>
      <c r="O41">
        <f t="shared" ca="1" si="10"/>
        <v>415</v>
      </c>
      <c r="P41">
        <f t="shared" ca="1" si="11"/>
        <v>66</v>
      </c>
      <c r="Q41">
        <f t="shared" ca="1" si="12"/>
        <v>156</v>
      </c>
    </row>
    <row r="42" spans="1:17" x14ac:dyDescent="0.25">
      <c r="A42" t="s">
        <v>74</v>
      </c>
      <c r="B42" t="s">
        <v>75</v>
      </c>
      <c r="C42">
        <v>110026</v>
      </c>
      <c r="D42" s="1">
        <v>27.205545000000001</v>
      </c>
      <c r="E42" s="1">
        <v>77.498621999999997</v>
      </c>
      <c r="F42" t="s">
        <v>12</v>
      </c>
      <c r="G42" t="s">
        <v>10</v>
      </c>
      <c r="H42" t="s">
        <v>9</v>
      </c>
      <c r="I42" t="s">
        <v>11</v>
      </c>
      <c r="J42">
        <f t="shared" si="13"/>
        <v>2</v>
      </c>
      <c r="K42">
        <f t="shared" si="14"/>
        <v>3</v>
      </c>
      <c r="L42">
        <f t="shared" si="15"/>
        <v>1</v>
      </c>
      <c r="M42">
        <f t="shared" si="16"/>
        <v>4</v>
      </c>
      <c r="N42">
        <f t="shared" ca="1" si="9"/>
        <v>229</v>
      </c>
      <c r="O42">
        <f t="shared" ca="1" si="10"/>
        <v>275</v>
      </c>
      <c r="P42">
        <f t="shared" ca="1" si="11"/>
        <v>70</v>
      </c>
      <c r="Q42">
        <f t="shared" ca="1" si="12"/>
        <v>409</v>
      </c>
    </row>
    <row r="43" spans="1:17" x14ac:dyDescent="0.25">
      <c r="A43" t="s">
        <v>76</v>
      </c>
      <c r="B43" t="s">
        <v>26</v>
      </c>
      <c r="C43">
        <v>812001</v>
      </c>
      <c r="D43" s="1">
        <v>25.247475999999999</v>
      </c>
      <c r="E43" s="1">
        <v>87.011284000000003</v>
      </c>
      <c r="F43" t="s">
        <v>9</v>
      </c>
      <c r="G43" t="s">
        <v>12</v>
      </c>
      <c r="H43" t="s">
        <v>11</v>
      </c>
      <c r="I43" t="s">
        <v>10</v>
      </c>
      <c r="J43">
        <f t="shared" si="13"/>
        <v>4</v>
      </c>
      <c r="K43">
        <f t="shared" si="14"/>
        <v>1</v>
      </c>
      <c r="L43">
        <f t="shared" si="15"/>
        <v>2</v>
      </c>
      <c r="M43">
        <f t="shared" si="16"/>
        <v>3</v>
      </c>
      <c r="N43">
        <f t="shared" ca="1" si="9"/>
        <v>366</v>
      </c>
      <c r="O43">
        <f t="shared" ca="1" si="10"/>
        <v>121</v>
      </c>
      <c r="P43">
        <f t="shared" ca="1" si="11"/>
        <v>225</v>
      </c>
      <c r="Q43">
        <f t="shared" ca="1" si="12"/>
        <v>276</v>
      </c>
    </row>
    <row r="44" spans="1:17" x14ac:dyDescent="0.25">
      <c r="A44" t="s">
        <v>77</v>
      </c>
      <c r="B44" t="s">
        <v>41</v>
      </c>
      <c r="C44">
        <v>530013</v>
      </c>
      <c r="D44" s="1">
        <v>17.680054999999999</v>
      </c>
      <c r="E44" s="1">
        <v>83.210439999999991</v>
      </c>
      <c r="F44" t="s">
        <v>9</v>
      </c>
      <c r="G44" t="s">
        <v>10</v>
      </c>
      <c r="H44" t="s">
        <v>12</v>
      </c>
      <c r="I44" t="s">
        <v>11</v>
      </c>
      <c r="J44">
        <f t="shared" si="13"/>
        <v>4</v>
      </c>
      <c r="K44">
        <f t="shared" si="14"/>
        <v>3</v>
      </c>
      <c r="L44">
        <f t="shared" si="15"/>
        <v>1</v>
      </c>
      <c r="M44">
        <f t="shared" si="16"/>
        <v>2</v>
      </c>
      <c r="N44">
        <f t="shared" ca="1" si="9"/>
        <v>356</v>
      </c>
      <c r="O44">
        <f t="shared" ca="1" si="10"/>
        <v>308</v>
      </c>
      <c r="P44">
        <f t="shared" ca="1" si="11"/>
        <v>83</v>
      </c>
      <c r="Q44">
        <f t="shared" ca="1" si="12"/>
        <v>215</v>
      </c>
    </row>
    <row r="45" spans="1:17" x14ac:dyDescent="0.25">
      <c r="A45" t="s">
        <v>78</v>
      </c>
      <c r="B45" t="s">
        <v>24</v>
      </c>
      <c r="C45">
        <v>410210</v>
      </c>
      <c r="D45" s="1">
        <v>19.036808702009502</v>
      </c>
      <c r="E45" s="1">
        <v>73.076868017271593</v>
      </c>
      <c r="F45" t="s">
        <v>9</v>
      </c>
      <c r="G45" t="s">
        <v>12</v>
      </c>
      <c r="H45" t="s">
        <v>10</v>
      </c>
      <c r="I45" t="s">
        <v>11</v>
      </c>
      <c r="J45">
        <f t="shared" si="13"/>
        <v>4</v>
      </c>
      <c r="K45">
        <f t="shared" si="14"/>
        <v>2</v>
      </c>
      <c r="L45">
        <f t="shared" si="15"/>
        <v>1</v>
      </c>
      <c r="M45">
        <f t="shared" si="16"/>
        <v>3</v>
      </c>
      <c r="N45">
        <f t="shared" ca="1" si="9"/>
        <v>417</v>
      </c>
      <c r="O45">
        <f t="shared" ca="1" si="10"/>
        <v>156</v>
      </c>
      <c r="P45">
        <f t="shared" ca="1" si="11"/>
        <v>54</v>
      </c>
      <c r="Q45">
        <f t="shared" ca="1" si="12"/>
        <v>278</v>
      </c>
    </row>
    <row r="46" spans="1:17" x14ac:dyDescent="0.25">
      <c r="A46" t="s">
        <v>79</v>
      </c>
      <c r="B46" t="s">
        <v>80</v>
      </c>
      <c r="C46">
        <v>122001</v>
      </c>
      <c r="D46" s="1">
        <v>28.434017000000001</v>
      </c>
      <c r="E46" s="1">
        <v>77.027712000000008</v>
      </c>
      <c r="F46" t="s">
        <v>12</v>
      </c>
      <c r="G46" t="s">
        <v>11</v>
      </c>
      <c r="H46" t="s">
        <v>9</v>
      </c>
      <c r="I46" t="s">
        <v>10</v>
      </c>
      <c r="J46">
        <f t="shared" si="13"/>
        <v>2</v>
      </c>
      <c r="K46">
        <f t="shared" si="14"/>
        <v>1</v>
      </c>
      <c r="L46">
        <f t="shared" si="15"/>
        <v>3</v>
      </c>
      <c r="M46">
        <f t="shared" si="16"/>
        <v>4</v>
      </c>
      <c r="N46">
        <f t="shared" ca="1" si="9"/>
        <v>249</v>
      </c>
      <c r="O46">
        <f t="shared" ca="1" si="10"/>
        <v>90</v>
      </c>
      <c r="P46">
        <f t="shared" ca="1" si="11"/>
        <v>298</v>
      </c>
      <c r="Q46">
        <f t="shared" ca="1" si="12"/>
        <v>398</v>
      </c>
    </row>
    <row r="47" spans="1:17" x14ac:dyDescent="0.25">
      <c r="A47" t="s">
        <v>81</v>
      </c>
      <c r="B47" t="s">
        <v>24</v>
      </c>
      <c r="C47">
        <v>400042</v>
      </c>
      <c r="D47" s="1">
        <v>19.15014</v>
      </c>
      <c r="E47" s="1">
        <v>72.948920700000002</v>
      </c>
      <c r="F47" t="s">
        <v>9</v>
      </c>
      <c r="G47" t="s">
        <v>11</v>
      </c>
      <c r="H47" t="s">
        <v>10</v>
      </c>
      <c r="I47" t="s">
        <v>12</v>
      </c>
      <c r="J47">
        <f t="shared" si="13"/>
        <v>4</v>
      </c>
      <c r="K47">
        <f t="shared" si="14"/>
        <v>2</v>
      </c>
      <c r="L47">
        <f t="shared" si="15"/>
        <v>3</v>
      </c>
      <c r="M47">
        <f t="shared" si="16"/>
        <v>1</v>
      </c>
      <c r="N47">
        <f t="shared" ca="1" si="9"/>
        <v>401</v>
      </c>
      <c r="O47">
        <f t="shared" ca="1" si="10"/>
        <v>161</v>
      </c>
      <c r="P47">
        <f t="shared" ca="1" si="11"/>
        <v>303</v>
      </c>
      <c r="Q47">
        <f t="shared" ca="1" si="12"/>
        <v>127</v>
      </c>
    </row>
    <row r="48" spans="1:17" x14ac:dyDescent="0.25">
      <c r="A48" t="s">
        <v>82</v>
      </c>
      <c r="B48" t="s">
        <v>28</v>
      </c>
      <c r="C48">
        <v>226022</v>
      </c>
      <c r="D48" s="1">
        <v>26.889578</v>
      </c>
      <c r="E48" s="1">
        <v>80.964825000000005</v>
      </c>
      <c r="F48" t="s">
        <v>9</v>
      </c>
      <c r="G48" t="s">
        <v>10</v>
      </c>
      <c r="H48" t="s">
        <v>12</v>
      </c>
      <c r="I48" t="s">
        <v>11</v>
      </c>
      <c r="J48">
        <f t="shared" si="13"/>
        <v>4</v>
      </c>
      <c r="K48">
        <f t="shared" si="14"/>
        <v>3</v>
      </c>
      <c r="L48">
        <f t="shared" si="15"/>
        <v>1</v>
      </c>
      <c r="M48">
        <f t="shared" si="16"/>
        <v>2</v>
      </c>
      <c r="N48">
        <f t="shared" ca="1" si="9"/>
        <v>430</v>
      </c>
      <c r="O48">
        <f t="shared" ca="1" si="10"/>
        <v>258</v>
      </c>
      <c r="P48">
        <f t="shared" ca="1" si="11"/>
        <v>115</v>
      </c>
      <c r="Q48">
        <f t="shared" ca="1" si="12"/>
        <v>190</v>
      </c>
    </row>
    <row r="49" spans="1:17" x14ac:dyDescent="0.25">
      <c r="A49" t="s">
        <v>83</v>
      </c>
      <c r="B49" t="s">
        <v>16</v>
      </c>
      <c r="C49">
        <v>335001</v>
      </c>
      <c r="D49" s="1">
        <v>29.915293538100002</v>
      </c>
      <c r="E49" s="1">
        <v>73.892597214000006</v>
      </c>
      <c r="F49" t="s">
        <v>11</v>
      </c>
      <c r="G49" t="s">
        <v>10</v>
      </c>
      <c r="H49" t="s">
        <v>12</v>
      </c>
      <c r="I49" t="s">
        <v>9</v>
      </c>
      <c r="J49">
        <f t="shared" si="13"/>
        <v>1</v>
      </c>
      <c r="K49">
        <f t="shared" si="14"/>
        <v>3</v>
      </c>
      <c r="L49">
        <f t="shared" si="15"/>
        <v>4</v>
      </c>
      <c r="M49">
        <f t="shared" si="16"/>
        <v>2</v>
      </c>
      <c r="N49">
        <f t="shared" ca="1" si="9"/>
        <v>139</v>
      </c>
      <c r="O49">
        <f t="shared" ca="1" si="10"/>
        <v>263</v>
      </c>
      <c r="P49">
        <f t="shared" ca="1" si="11"/>
        <v>366</v>
      </c>
      <c r="Q49">
        <f t="shared" ca="1" si="12"/>
        <v>178</v>
      </c>
    </row>
    <row r="50" spans="1:17" x14ac:dyDescent="0.25">
      <c r="A50" t="s">
        <v>84</v>
      </c>
      <c r="B50" t="s">
        <v>41</v>
      </c>
      <c r="C50">
        <v>533016</v>
      </c>
      <c r="D50" s="1">
        <v>28.467414000000002</v>
      </c>
      <c r="E50" s="1">
        <v>77.034040000000005</v>
      </c>
      <c r="F50" t="s">
        <v>10</v>
      </c>
      <c r="G50" t="s">
        <v>9</v>
      </c>
      <c r="H50" t="s">
        <v>12</v>
      </c>
      <c r="I50" t="s">
        <v>11</v>
      </c>
      <c r="J50">
        <f t="shared" si="13"/>
        <v>3</v>
      </c>
      <c r="K50">
        <f t="shared" si="14"/>
        <v>4</v>
      </c>
      <c r="L50">
        <f t="shared" si="15"/>
        <v>1</v>
      </c>
      <c r="M50">
        <f t="shared" si="16"/>
        <v>2</v>
      </c>
      <c r="N50">
        <f t="shared" ca="1" si="9"/>
        <v>258</v>
      </c>
      <c r="O50">
        <f t="shared" ca="1" si="10"/>
        <v>415</v>
      </c>
      <c r="P50">
        <f t="shared" ca="1" si="11"/>
        <v>93</v>
      </c>
      <c r="Q50">
        <f t="shared" ca="1" si="12"/>
        <v>181</v>
      </c>
    </row>
    <row r="51" spans="1:17" x14ac:dyDescent="0.25">
      <c r="A51" t="s">
        <v>85</v>
      </c>
      <c r="B51" t="s">
        <v>37</v>
      </c>
      <c r="C51">
        <v>712232</v>
      </c>
      <c r="D51" s="1">
        <v>22.675108599999998</v>
      </c>
      <c r="E51" s="1">
        <v>88.35060639999999</v>
      </c>
      <c r="F51" t="s">
        <v>12</v>
      </c>
      <c r="G51" t="s">
        <v>9</v>
      </c>
      <c r="H51" t="s">
        <v>10</v>
      </c>
      <c r="I51" t="s">
        <v>11</v>
      </c>
      <c r="J51">
        <f t="shared" si="13"/>
        <v>3</v>
      </c>
      <c r="K51">
        <f t="shared" si="14"/>
        <v>2</v>
      </c>
      <c r="L51">
        <f t="shared" si="15"/>
        <v>1</v>
      </c>
      <c r="M51">
        <f t="shared" si="16"/>
        <v>4</v>
      </c>
      <c r="N51">
        <f t="shared" ca="1" si="9"/>
        <v>299</v>
      </c>
      <c r="O51">
        <f t="shared" ca="1" si="10"/>
        <v>241</v>
      </c>
      <c r="P51">
        <f t="shared" ca="1" si="11"/>
        <v>106</v>
      </c>
      <c r="Q51">
        <f t="shared" ca="1" si="12"/>
        <v>361</v>
      </c>
    </row>
    <row r="52" spans="1:17" x14ac:dyDescent="0.25">
      <c r="A52" t="s">
        <v>86</v>
      </c>
      <c r="B52" t="s">
        <v>75</v>
      </c>
      <c r="C52">
        <v>110065</v>
      </c>
      <c r="D52" s="1">
        <v>28.558525905060598</v>
      </c>
      <c r="E52" s="1">
        <v>77.252083202114406</v>
      </c>
      <c r="F52" t="s">
        <v>9</v>
      </c>
      <c r="G52" t="s">
        <v>11</v>
      </c>
      <c r="H52" t="s">
        <v>10</v>
      </c>
      <c r="I52" t="s">
        <v>12</v>
      </c>
      <c r="J52">
        <f t="shared" si="13"/>
        <v>4</v>
      </c>
      <c r="K52">
        <f t="shared" si="14"/>
        <v>2</v>
      </c>
      <c r="L52">
        <f t="shared" si="15"/>
        <v>3</v>
      </c>
      <c r="M52">
        <f t="shared" si="16"/>
        <v>1</v>
      </c>
      <c r="N52">
        <f t="shared" ca="1" si="9"/>
        <v>365</v>
      </c>
      <c r="O52">
        <f t="shared" ca="1" si="10"/>
        <v>193</v>
      </c>
      <c r="P52">
        <f t="shared" ca="1" si="11"/>
        <v>299</v>
      </c>
      <c r="Q52">
        <f t="shared" ca="1" si="12"/>
        <v>140</v>
      </c>
    </row>
    <row r="53" spans="1:17" x14ac:dyDescent="0.25">
      <c r="A53" t="s">
        <v>87</v>
      </c>
      <c r="B53" t="s">
        <v>75</v>
      </c>
      <c r="C53">
        <v>110023</v>
      </c>
      <c r="D53" s="1">
        <v>28.572889</v>
      </c>
      <c r="E53" s="1">
        <v>77.214963999999995</v>
      </c>
      <c r="F53" t="s">
        <v>9</v>
      </c>
      <c r="G53" t="s">
        <v>10</v>
      </c>
      <c r="H53" t="s">
        <v>12</v>
      </c>
      <c r="I53" t="s">
        <v>11</v>
      </c>
      <c r="J53">
        <f t="shared" si="13"/>
        <v>4</v>
      </c>
      <c r="K53">
        <f t="shared" si="14"/>
        <v>3</v>
      </c>
      <c r="L53">
        <f t="shared" si="15"/>
        <v>1</v>
      </c>
      <c r="M53">
        <f t="shared" si="16"/>
        <v>2</v>
      </c>
      <c r="N53">
        <f t="shared" ca="1" si="9"/>
        <v>367</v>
      </c>
      <c r="O53">
        <f t="shared" ca="1" si="10"/>
        <v>304</v>
      </c>
      <c r="P53">
        <f t="shared" ca="1" si="11"/>
        <v>53</v>
      </c>
      <c r="Q53">
        <f t="shared" ca="1" si="12"/>
        <v>190</v>
      </c>
    </row>
    <row r="54" spans="1:17" x14ac:dyDescent="0.25">
      <c r="A54" t="s">
        <v>88</v>
      </c>
      <c r="B54" t="s">
        <v>61</v>
      </c>
      <c r="C54">
        <v>380016</v>
      </c>
      <c r="D54" s="1">
        <v>23.055785100000001</v>
      </c>
      <c r="E54" s="1">
        <v>72.6163296</v>
      </c>
      <c r="F54" t="s">
        <v>9</v>
      </c>
      <c r="G54" t="s">
        <v>12</v>
      </c>
      <c r="H54" t="s">
        <v>11</v>
      </c>
      <c r="I54" t="s">
        <v>10</v>
      </c>
      <c r="J54">
        <f t="shared" si="13"/>
        <v>4</v>
      </c>
      <c r="K54">
        <f t="shared" si="14"/>
        <v>1</v>
      </c>
      <c r="L54">
        <f t="shared" si="15"/>
        <v>2</v>
      </c>
      <c r="M54">
        <f t="shared" si="16"/>
        <v>3</v>
      </c>
      <c r="N54">
        <f t="shared" ca="1" si="9"/>
        <v>388</v>
      </c>
      <c r="O54">
        <f t="shared" ca="1" si="10"/>
        <v>106</v>
      </c>
      <c r="P54">
        <f t="shared" ca="1" si="11"/>
        <v>166</v>
      </c>
      <c r="Q54">
        <f t="shared" ca="1" si="12"/>
        <v>330</v>
      </c>
    </row>
    <row r="55" spans="1:17" x14ac:dyDescent="0.25">
      <c r="A55" t="s">
        <v>89</v>
      </c>
      <c r="B55" t="s">
        <v>75</v>
      </c>
      <c r="C55">
        <v>110027</v>
      </c>
      <c r="D55" s="1">
        <v>28.641830706899999</v>
      </c>
      <c r="E55" s="1">
        <v>77.109502177700008</v>
      </c>
      <c r="F55" t="s">
        <v>9</v>
      </c>
      <c r="G55" t="s">
        <v>10</v>
      </c>
      <c r="H55" t="s">
        <v>12</v>
      </c>
      <c r="I55" t="s">
        <v>11</v>
      </c>
      <c r="J55">
        <f t="shared" si="13"/>
        <v>4</v>
      </c>
      <c r="K55">
        <f t="shared" si="14"/>
        <v>3</v>
      </c>
      <c r="L55">
        <f t="shared" si="15"/>
        <v>1</v>
      </c>
      <c r="M55">
        <f t="shared" si="16"/>
        <v>2</v>
      </c>
      <c r="N55">
        <f t="shared" ca="1" si="9"/>
        <v>354</v>
      </c>
      <c r="O55">
        <f t="shared" ca="1" si="10"/>
        <v>312</v>
      </c>
      <c r="P55">
        <f t="shared" ca="1" si="11"/>
        <v>98</v>
      </c>
      <c r="Q55">
        <f t="shared" ca="1" si="12"/>
        <v>155</v>
      </c>
    </row>
    <row r="56" spans="1:17" x14ac:dyDescent="0.25">
      <c r="A56" t="s">
        <v>90</v>
      </c>
      <c r="B56" t="s">
        <v>75</v>
      </c>
      <c r="C56">
        <v>110075</v>
      </c>
      <c r="D56" s="1">
        <v>28.5963253749334</v>
      </c>
      <c r="E56" s="1">
        <v>77.063777364553502</v>
      </c>
      <c r="F56" t="s">
        <v>9</v>
      </c>
      <c r="G56" t="s">
        <v>12</v>
      </c>
      <c r="H56" t="s">
        <v>10</v>
      </c>
      <c r="I56" t="s">
        <v>11</v>
      </c>
      <c r="J56">
        <f t="shared" si="13"/>
        <v>4</v>
      </c>
      <c r="K56">
        <f t="shared" si="14"/>
        <v>2</v>
      </c>
      <c r="L56">
        <f t="shared" si="15"/>
        <v>1</v>
      </c>
      <c r="M56">
        <f t="shared" si="16"/>
        <v>3</v>
      </c>
      <c r="N56">
        <f t="shared" ca="1" si="9"/>
        <v>385</v>
      </c>
      <c r="O56">
        <f t="shared" ca="1" si="10"/>
        <v>153</v>
      </c>
      <c r="P56">
        <f t="shared" ca="1" si="11"/>
        <v>58</v>
      </c>
      <c r="Q56">
        <f t="shared" ca="1" si="12"/>
        <v>334</v>
      </c>
    </row>
    <row r="57" spans="1:17" x14ac:dyDescent="0.25">
      <c r="A57" t="s">
        <v>91</v>
      </c>
      <c r="B57" t="s">
        <v>44</v>
      </c>
      <c r="C57">
        <v>625014</v>
      </c>
      <c r="D57" s="1">
        <v>9.96778084275339</v>
      </c>
      <c r="E57" s="1">
        <v>78.134660348949808</v>
      </c>
      <c r="F57" t="s">
        <v>9</v>
      </c>
      <c r="G57" t="s">
        <v>12</v>
      </c>
      <c r="H57" t="s">
        <v>10</v>
      </c>
      <c r="I57" t="s">
        <v>11</v>
      </c>
      <c r="J57">
        <f t="shared" si="13"/>
        <v>4</v>
      </c>
      <c r="K57">
        <f t="shared" si="14"/>
        <v>2</v>
      </c>
      <c r="L57">
        <f t="shared" si="15"/>
        <v>1</v>
      </c>
      <c r="M57">
        <f t="shared" si="16"/>
        <v>3</v>
      </c>
      <c r="N57">
        <f t="shared" ca="1" si="9"/>
        <v>449</v>
      </c>
      <c r="O57">
        <f t="shared" ca="1" si="10"/>
        <v>199</v>
      </c>
      <c r="P57">
        <f t="shared" ca="1" si="11"/>
        <v>111</v>
      </c>
      <c r="Q57">
        <f t="shared" ca="1" si="12"/>
        <v>297</v>
      </c>
    </row>
    <row r="58" spans="1:17" x14ac:dyDescent="0.25">
      <c r="A58" t="s">
        <v>92</v>
      </c>
      <c r="B58" t="s">
        <v>75</v>
      </c>
      <c r="C58">
        <v>110075</v>
      </c>
      <c r="D58" s="1">
        <v>28.597313391193499</v>
      </c>
      <c r="E58" s="1">
        <v>77.062483891046</v>
      </c>
      <c r="F58" t="s">
        <v>11</v>
      </c>
      <c r="G58" t="s">
        <v>12</v>
      </c>
      <c r="H58" t="s">
        <v>10</v>
      </c>
      <c r="I58" t="s">
        <v>9</v>
      </c>
      <c r="J58">
        <f t="shared" si="13"/>
        <v>1</v>
      </c>
      <c r="K58">
        <f t="shared" si="14"/>
        <v>2</v>
      </c>
      <c r="L58">
        <f t="shared" si="15"/>
        <v>4</v>
      </c>
      <c r="M58">
        <f t="shared" si="16"/>
        <v>3</v>
      </c>
      <c r="N58">
        <f t="shared" ca="1" si="9"/>
        <v>81</v>
      </c>
      <c r="O58">
        <f t="shared" ca="1" si="10"/>
        <v>171</v>
      </c>
      <c r="P58">
        <f t="shared" ca="1" si="11"/>
        <v>429</v>
      </c>
      <c r="Q58">
        <f t="shared" ca="1" si="12"/>
        <v>258</v>
      </c>
    </row>
    <row r="59" spans="1:17" x14ac:dyDescent="0.25">
      <c r="A59" t="s">
        <v>93</v>
      </c>
      <c r="B59" t="s">
        <v>18</v>
      </c>
      <c r="C59">
        <v>560029</v>
      </c>
      <c r="D59" s="1">
        <v>12.934322</v>
      </c>
      <c r="E59" s="1">
        <v>77.602502999999999</v>
      </c>
      <c r="F59" t="s">
        <v>12</v>
      </c>
      <c r="G59" t="s">
        <v>11</v>
      </c>
      <c r="H59" t="s">
        <v>10</v>
      </c>
      <c r="I59" t="s">
        <v>9</v>
      </c>
      <c r="J59">
        <f t="shared" si="13"/>
        <v>1</v>
      </c>
      <c r="K59">
        <f t="shared" si="14"/>
        <v>2</v>
      </c>
      <c r="L59">
        <f t="shared" si="15"/>
        <v>3</v>
      </c>
      <c r="M59">
        <f t="shared" si="16"/>
        <v>4</v>
      </c>
      <c r="N59">
        <f t="shared" ca="1" si="9"/>
        <v>53</v>
      </c>
      <c r="O59">
        <f t="shared" ca="1" si="10"/>
        <v>175</v>
      </c>
      <c r="P59">
        <f t="shared" ca="1" si="11"/>
        <v>280</v>
      </c>
      <c r="Q59">
        <f t="shared" ca="1" si="12"/>
        <v>391</v>
      </c>
    </row>
    <row r="60" spans="1:17" x14ac:dyDescent="0.25">
      <c r="A60" t="s">
        <v>94</v>
      </c>
      <c r="B60" t="s">
        <v>50</v>
      </c>
      <c r="C60">
        <v>768020</v>
      </c>
      <c r="D60" s="1">
        <v>21.481075000000001</v>
      </c>
      <c r="E60" s="1">
        <v>83.90061</v>
      </c>
      <c r="F60" t="s">
        <v>10</v>
      </c>
      <c r="G60" t="s">
        <v>12</v>
      </c>
      <c r="H60" t="s">
        <v>9</v>
      </c>
      <c r="I60" t="s">
        <v>11</v>
      </c>
      <c r="J60">
        <f t="shared" si="13"/>
        <v>2</v>
      </c>
      <c r="K60">
        <f t="shared" si="14"/>
        <v>4</v>
      </c>
      <c r="L60">
        <f t="shared" si="15"/>
        <v>1</v>
      </c>
      <c r="M60">
        <f t="shared" si="16"/>
        <v>3</v>
      </c>
      <c r="N60">
        <f t="shared" ca="1" si="9"/>
        <v>194</v>
      </c>
      <c r="O60">
        <f t="shared" ca="1" si="10"/>
        <v>356</v>
      </c>
      <c r="P60">
        <f t="shared" ca="1" si="11"/>
        <v>145</v>
      </c>
      <c r="Q60">
        <f t="shared" ca="1" si="12"/>
        <v>296</v>
      </c>
    </row>
    <row r="61" spans="1:17" x14ac:dyDescent="0.25">
      <c r="A61" t="s">
        <v>95</v>
      </c>
      <c r="B61" t="s">
        <v>16</v>
      </c>
      <c r="C61">
        <v>301019</v>
      </c>
      <c r="D61" s="1">
        <v>28.191009307446901</v>
      </c>
      <c r="E61" s="1">
        <v>76.813655903709389</v>
      </c>
      <c r="F61" t="s">
        <v>11</v>
      </c>
      <c r="G61" t="s">
        <v>10</v>
      </c>
      <c r="H61" t="s">
        <v>9</v>
      </c>
      <c r="I61" t="s">
        <v>12</v>
      </c>
      <c r="J61">
        <f t="shared" si="13"/>
        <v>2</v>
      </c>
      <c r="K61">
        <f t="shared" si="14"/>
        <v>3</v>
      </c>
      <c r="L61">
        <f t="shared" si="15"/>
        <v>4</v>
      </c>
      <c r="M61">
        <f t="shared" si="16"/>
        <v>1</v>
      </c>
      <c r="N61">
        <f t="shared" ca="1" si="9"/>
        <v>194</v>
      </c>
      <c r="O61">
        <f t="shared" ca="1" si="10"/>
        <v>286</v>
      </c>
      <c r="P61">
        <f t="shared" ca="1" si="11"/>
        <v>413</v>
      </c>
      <c r="Q61">
        <f t="shared" ca="1" si="12"/>
        <v>90</v>
      </c>
    </row>
    <row r="62" spans="1:17" x14ac:dyDescent="0.25">
      <c r="A62" t="s">
        <v>96</v>
      </c>
      <c r="B62" t="s">
        <v>30</v>
      </c>
      <c r="C62">
        <v>122001</v>
      </c>
      <c r="D62" s="1">
        <v>28.482334746046099</v>
      </c>
      <c r="E62" s="1">
        <v>77.087635196735107</v>
      </c>
      <c r="F62" t="s">
        <v>10</v>
      </c>
      <c r="G62" t="s">
        <v>11</v>
      </c>
      <c r="H62" t="s">
        <v>12</v>
      </c>
      <c r="I62" t="s">
        <v>9</v>
      </c>
      <c r="J62">
        <f t="shared" si="13"/>
        <v>1</v>
      </c>
      <c r="K62">
        <f t="shared" si="14"/>
        <v>4</v>
      </c>
      <c r="L62">
        <f t="shared" si="15"/>
        <v>3</v>
      </c>
      <c r="M62">
        <f t="shared" si="16"/>
        <v>2</v>
      </c>
      <c r="N62">
        <f t="shared" ca="1" si="9"/>
        <v>126</v>
      </c>
      <c r="O62">
        <f t="shared" ca="1" si="10"/>
        <v>407</v>
      </c>
      <c r="P62">
        <f t="shared" ca="1" si="11"/>
        <v>284</v>
      </c>
      <c r="Q62">
        <f t="shared" ca="1" si="12"/>
        <v>156</v>
      </c>
    </row>
    <row r="63" spans="1:17" x14ac:dyDescent="0.25">
      <c r="A63" t="s">
        <v>97</v>
      </c>
      <c r="B63" t="s">
        <v>24</v>
      </c>
      <c r="C63">
        <v>445203</v>
      </c>
      <c r="D63" s="1">
        <v>20.000653</v>
      </c>
      <c r="E63" s="1">
        <v>75.000028999999998</v>
      </c>
      <c r="F63" t="s">
        <v>9</v>
      </c>
      <c r="G63" t="s">
        <v>12</v>
      </c>
      <c r="H63" t="s">
        <v>10</v>
      </c>
      <c r="I63" t="s">
        <v>11</v>
      </c>
      <c r="J63">
        <f t="shared" si="13"/>
        <v>4</v>
      </c>
      <c r="K63">
        <f t="shared" si="14"/>
        <v>2</v>
      </c>
      <c r="L63">
        <f t="shared" si="15"/>
        <v>1</v>
      </c>
      <c r="M63">
        <f t="shared" si="16"/>
        <v>3</v>
      </c>
      <c r="N63">
        <f t="shared" ca="1" si="9"/>
        <v>369</v>
      </c>
      <c r="O63">
        <f t="shared" ca="1" si="10"/>
        <v>155</v>
      </c>
      <c r="P63">
        <f t="shared" ca="1" si="11"/>
        <v>89</v>
      </c>
      <c r="Q63">
        <f t="shared" ca="1" si="12"/>
        <v>303</v>
      </c>
    </row>
    <row r="64" spans="1:17" x14ac:dyDescent="0.25">
      <c r="A64" t="s">
        <v>98</v>
      </c>
      <c r="B64" t="s">
        <v>24</v>
      </c>
      <c r="C64">
        <v>400080</v>
      </c>
      <c r="D64" s="1">
        <v>19.166498499999999</v>
      </c>
      <c r="E64" s="1">
        <v>72.944411000000002</v>
      </c>
      <c r="F64" t="s">
        <v>12</v>
      </c>
      <c r="G64" t="s">
        <v>9</v>
      </c>
      <c r="H64" t="s">
        <v>11</v>
      </c>
      <c r="I64" t="s">
        <v>10</v>
      </c>
      <c r="J64">
        <f t="shared" si="13"/>
        <v>3</v>
      </c>
      <c r="K64">
        <f t="shared" si="14"/>
        <v>1</v>
      </c>
      <c r="L64">
        <f t="shared" si="15"/>
        <v>2</v>
      </c>
      <c r="M64">
        <f t="shared" si="16"/>
        <v>4</v>
      </c>
      <c r="N64">
        <f t="shared" ca="1" si="9"/>
        <v>290</v>
      </c>
      <c r="O64">
        <f t="shared" ca="1" si="10"/>
        <v>147</v>
      </c>
      <c r="P64">
        <f t="shared" ca="1" si="11"/>
        <v>232</v>
      </c>
      <c r="Q64">
        <f t="shared" ca="1" si="12"/>
        <v>397</v>
      </c>
    </row>
    <row r="65" spans="1:17" x14ac:dyDescent="0.25">
      <c r="A65" t="s">
        <v>99</v>
      </c>
      <c r="B65" t="s">
        <v>28</v>
      </c>
      <c r="C65">
        <v>226013</v>
      </c>
      <c r="D65" s="1">
        <v>26.936750440136599</v>
      </c>
      <c r="E65" s="1">
        <v>80.900277901109391</v>
      </c>
      <c r="F65" t="s">
        <v>9</v>
      </c>
      <c r="G65" t="s">
        <v>10</v>
      </c>
      <c r="H65" t="s">
        <v>12</v>
      </c>
      <c r="I65" t="s">
        <v>11</v>
      </c>
      <c r="J65">
        <f t="shared" si="13"/>
        <v>4</v>
      </c>
      <c r="K65">
        <f t="shared" si="14"/>
        <v>3</v>
      </c>
      <c r="L65">
        <f t="shared" si="15"/>
        <v>1</v>
      </c>
      <c r="M65">
        <f t="shared" si="16"/>
        <v>2</v>
      </c>
      <c r="N65">
        <f t="shared" ca="1" si="9"/>
        <v>377</v>
      </c>
      <c r="O65">
        <f t="shared" ca="1" si="10"/>
        <v>331</v>
      </c>
      <c r="P65">
        <f t="shared" ca="1" si="11"/>
        <v>95</v>
      </c>
      <c r="Q65">
        <f t="shared" ca="1" si="12"/>
        <v>221</v>
      </c>
    </row>
    <row r="66" spans="1:17" x14ac:dyDescent="0.25">
      <c r="A66" t="s">
        <v>100</v>
      </c>
      <c r="B66" t="s">
        <v>75</v>
      </c>
      <c r="C66">
        <v>110058</v>
      </c>
      <c r="D66" s="1">
        <v>28.609180685595899</v>
      </c>
      <c r="E66" s="1">
        <v>77.107557411114698</v>
      </c>
      <c r="F66" t="s">
        <v>9</v>
      </c>
      <c r="G66" t="s">
        <v>12</v>
      </c>
      <c r="H66" t="s">
        <v>10</v>
      </c>
      <c r="I66" t="s">
        <v>11</v>
      </c>
      <c r="J66">
        <f t="shared" ref="J66:J97" si="17">IF(F66="Electronics",4,IF(G66="Electronics",3,IF(H66="Electronics",2,IF(I66="Electronics",1,0))))</f>
        <v>4</v>
      </c>
      <c r="K66">
        <f t="shared" ref="K66:K102" si="18">IF(F66="Apparel",4,IF(G66="Apparel",3,IF(H66="Apparel",2,IF(I66="Apparel",1,0))))</f>
        <v>2</v>
      </c>
      <c r="L66">
        <f t="shared" ref="L66:L102" si="19">IF(F66="Grocery",4,IF(G66="Grocery",3,IF(H66="Grocery",2,IF(I66="Grocery",1,0))))</f>
        <v>1</v>
      </c>
      <c r="M66">
        <f t="shared" ref="M66:M102" si="20">IF(F66="Books",4,IF(G66="Books",3,IF(H66="Books",2,IF(I66="Books",1,0))))</f>
        <v>3</v>
      </c>
      <c r="N66">
        <f t="shared" ca="1" si="9"/>
        <v>390</v>
      </c>
      <c r="O66">
        <f t="shared" ca="1" si="10"/>
        <v>188</v>
      </c>
      <c r="P66">
        <f t="shared" ca="1" si="11"/>
        <v>54</v>
      </c>
      <c r="Q66">
        <f t="shared" ca="1" si="12"/>
        <v>347</v>
      </c>
    </row>
    <row r="67" spans="1:17" x14ac:dyDescent="0.25">
      <c r="A67" t="s">
        <v>101</v>
      </c>
      <c r="B67" t="s">
        <v>102</v>
      </c>
      <c r="C67">
        <v>110075</v>
      </c>
      <c r="D67" s="1">
        <v>28.000135</v>
      </c>
      <c r="E67" s="1">
        <v>77.000998999999993</v>
      </c>
      <c r="F67" t="s">
        <v>10</v>
      </c>
      <c r="G67" t="s">
        <v>9</v>
      </c>
      <c r="H67" t="s">
        <v>11</v>
      </c>
      <c r="I67" t="s">
        <v>12</v>
      </c>
      <c r="J67">
        <f t="shared" si="17"/>
        <v>3</v>
      </c>
      <c r="K67">
        <f t="shared" si="18"/>
        <v>4</v>
      </c>
      <c r="L67">
        <f t="shared" si="19"/>
        <v>2</v>
      </c>
      <c r="M67">
        <f t="shared" si="20"/>
        <v>1</v>
      </c>
      <c r="N67">
        <f t="shared" ca="1" si="9"/>
        <v>337</v>
      </c>
      <c r="O67">
        <f t="shared" ca="1" si="10"/>
        <v>360</v>
      </c>
      <c r="P67">
        <f t="shared" ca="1" si="11"/>
        <v>203</v>
      </c>
      <c r="Q67">
        <f t="shared" ca="1" si="12"/>
        <v>128</v>
      </c>
    </row>
    <row r="68" spans="1:17" x14ac:dyDescent="0.25">
      <c r="A68" t="s">
        <v>103</v>
      </c>
      <c r="B68" t="s">
        <v>75</v>
      </c>
      <c r="C68">
        <v>110092</v>
      </c>
      <c r="D68" s="1">
        <v>28.6332140097885</v>
      </c>
      <c r="E68" s="1">
        <v>77.3005359339151</v>
      </c>
      <c r="F68" t="s">
        <v>12</v>
      </c>
      <c r="G68" t="s">
        <v>9</v>
      </c>
      <c r="H68" t="s">
        <v>11</v>
      </c>
      <c r="I68" t="s">
        <v>10</v>
      </c>
      <c r="J68">
        <f t="shared" si="17"/>
        <v>3</v>
      </c>
      <c r="K68">
        <f t="shared" si="18"/>
        <v>1</v>
      </c>
      <c r="L68">
        <f t="shared" si="19"/>
        <v>2</v>
      </c>
      <c r="M68">
        <f t="shared" si="20"/>
        <v>4</v>
      </c>
      <c r="N68">
        <f t="shared" ca="1" si="9"/>
        <v>310</v>
      </c>
      <c r="O68">
        <f t="shared" ca="1" si="10"/>
        <v>57</v>
      </c>
      <c r="P68">
        <f t="shared" ca="1" si="11"/>
        <v>166</v>
      </c>
      <c r="Q68">
        <f t="shared" ca="1" si="12"/>
        <v>351</v>
      </c>
    </row>
    <row r="69" spans="1:17" x14ac:dyDescent="0.25">
      <c r="A69" t="s">
        <v>104</v>
      </c>
      <c r="B69" t="s">
        <v>58</v>
      </c>
      <c r="C69">
        <v>500049</v>
      </c>
      <c r="D69" s="1">
        <v>17.473236</v>
      </c>
      <c r="E69" s="1">
        <v>78.30867099999999</v>
      </c>
      <c r="F69" t="s">
        <v>9</v>
      </c>
      <c r="G69" t="s">
        <v>12</v>
      </c>
      <c r="H69" t="s">
        <v>11</v>
      </c>
      <c r="I69" t="s">
        <v>10</v>
      </c>
      <c r="J69">
        <f t="shared" si="17"/>
        <v>4</v>
      </c>
      <c r="K69">
        <f t="shared" si="18"/>
        <v>1</v>
      </c>
      <c r="L69">
        <f t="shared" si="19"/>
        <v>2</v>
      </c>
      <c r="M69">
        <f t="shared" si="20"/>
        <v>3</v>
      </c>
      <c r="N69">
        <f t="shared" ca="1" si="9"/>
        <v>394</v>
      </c>
      <c r="O69">
        <f t="shared" ca="1" si="10"/>
        <v>130</v>
      </c>
      <c r="P69">
        <f t="shared" ca="1" si="11"/>
        <v>160</v>
      </c>
      <c r="Q69">
        <f t="shared" ca="1" si="12"/>
        <v>258</v>
      </c>
    </row>
    <row r="70" spans="1:17" x14ac:dyDescent="0.25">
      <c r="A70" t="s">
        <v>105</v>
      </c>
      <c r="B70" t="s">
        <v>41</v>
      </c>
      <c r="C70">
        <v>533001</v>
      </c>
      <c r="D70" s="1">
        <v>16.959180999999997</v>
      </c>
      <c r="E70" s="1">
        <v>82.251888000000008</v>
      </c>
      <c r="F70" t="s">
        <v>9</v>
      </c>
      <c r="G70" t="s">
        <v>10</v>
      </c>
      <c r="H70" t="s">
        <v>12</v>
      </c>
      <c r="I70" t="s">
        <v>11</v>
      </c>
      <c r="J70">
        <f t="shared" si="17"/>
        <v>4</v>
      </c>
      <c r="K70">
        <f t="shared" si="18"/>
        <v>3</v>
      </c>
      <c r="L70">
        <f t="shared" si="19"/>
        <v>1</v>
      </c>
      <c r="M70">
        <f t="shared" si="20"/>
        <v>2</v>
      </c>
      <c r="N70">
        <f t="shared" ca="1" si="9"/>
        <v>406</v>
      </c>
      <c r="O70">
        <f t="shared" ca="1" si="10"/>
        <v>335</v>
      </c>
      <c r="P70">
        <f t="shared" ca="1" si="11"/>
        <v>122</v>
      </c>
      <c r="Q70">
        <f t="shared" ca="1" si="12"/>
        <v>150</v>
      </c>
    </row>
    <row r="71" spans="1:17" x14ac:dyDescent="0.25">
      <c r="A71" t="s">
        <v>106</v>
      </c>
      <c r="B71" t="s">
        <v>28</v>
      </c>
      <c r="C71">
        <v>207001</v>
      </c>
      <c r="D71" s="1">
        <v>27.560630700000001</v>
      </c>
      <c r="E71" s="1">
        <v>78.658772999999997</v>
      </c>
      <c r="F71" t="s">
        <v>12</v>
      </c>
      <c r="G71" t="s">
        <v>11</v>
      </c>
      <c r="H71" t="s">
        <v>10</v>
      </c>
      <c r="I71" t="s">
        <v>9</v>
      </c>
      <c r="J71">
        <f t="shared" si="17"/>
        <v>1</v>
      </c>
      <c r="K71">
        <f t="shared" si="18"/>
        <v>2</v>
      </c>
      <c r="L71">
        <f t="shared" si="19"/>
        <v>3</v>
      </c>
      <c r="M71">
        <f t="shared" si="20"/>
        <v>4</v>
      </c>
      <c r="N71">
        <f t="shared" ca="1" si="9"/>
        <v>140</v>
      </c>
      <c r="O71">
        <f t="shared" ca="1" si="10"/>
        <v>235</v>
      </c>
      <c r="P71">
        <f t="shared" ca="1" si="11"/>
        <v>333</v>
      </c>
      <c r="Q71">
        <f t="shared" ca="1" si="12"/>
        <v>373</v>
      </c>
    </row>
    <row r="72" spans="1:17" x14ac:dyDescent="0.25">
      <c r="A72" t="s">
        <v>107</v>
      </c>
      <c r="B72" t="s">
        <v>24</v>
      </c>
      <c r="C72">
        <v>442001</v>
      </c>
      <c r="D72" s="1">
        <v>20.742388751965503</v>
      </c>
      <c r="E72" s="1">
        <v>78.603519531420403</v>
      </c>
      <c r="F72" t="s">
        <v>9</v>
      </c>
      <c r="G72" t="s">
        <v>12</v>
      </c>
      <c r="H72" t="s">
        <v>11</v>
      </c>
      <c r="I72" t="s">
        <v>10</v>
      </c>
      <c r="J72">
        <f t="shared" si="17"/>
        <v>4</v>
      </c>
      <c r="K72">
        <f t="shared" si="18"/>
        <v>1</v>
      </c>
      <c r="L72">
        <f t="shared" si="19"/>
        <v>2</v>
      </c>
      <c r="M72">
        <f t="shared" si="20"/>
        <v>3</v>
      </c>
      <c r="N72">
        <f t="shared" ca="1" si="9"/>
        <v>415</v>
      </c>
      <c r="O72">
        <f t="shared" ca="1" si="10"/>
        <v>76</v>
      </c>
      <c r="P72">
        <f t="shared" ca="1" si="11"/>
        <v>180</v>
      </c>
      <c r="Q72">
        <f t="shared" ca="1" si="12"/>
        <v>252</v>
      </c>
    </row>
    <row r="73" spans="1:17" x14ac:dyDescent="0.25">
      <c r="A73" t="s">
        <v>108</v>
      </c>
      <c r="B73" t="s">
        <v>109</v>
      </c>
      <c r="C73">
        <v>110085</v>
      </c>
      <c r="D73" s="1">
        <v>28.699249991785003</v>
      </c>
      <c r="E73" s="1">
        <v>77.099533924686696</v>
      </c>
      <c r="F73" t="s">
        <v>9</v>
      </c>
      <c r="G73" t="s">
        <v>12</v>
      </c>
      <c r="H73" t="s">
        <v>11</v>
      </c>
      <c r="I73" t="s">
        <v>10</v>
      </c>
      <c r="J73">
        <f t="shared" si="17"/>
        <v>4</v>
      </c>
      <c r="K73">
        <f t="shared" si="18"/>
        <v>1</v>
      </c>
      <c r="L73">
        <f t="shared" si="19"/>
        <v>2</v>
      </c>
      <c r="M73">
        <f t="shared" si="20"/>
        <v>3</v>
      </c>
      <c r="N73">
        <f t="shared" ca="1" si="9"/>
        <v>374</v>
      </c>
      <c r="O73">
        <f t="shared" ca="1" si="10"/>
        <v>141</v>
      </c>
      <c r="P73">
        <f t="shared" ca="1" si="11"/>
        <v>213</v>
      </c>
      <c r="Q73">
        <f t="shared" ca="1" si="12"/>
        <v>318</v>
      </c>
    </row>
    <row r="74" spans="1:17" x14ac:dyDescent="0.25">
      <c r="A74" t="s">
        <v>110</v>
      </c>
      <c r="B74" t="s">
        <v>75</v>
      </c>
      <c r="C74">
        <v>110078</v>
      </c>
      <c r="D74" s="1">
        <v>28.594100999999998</v>
      </c>
      <c r="E74" s="1">
        <v>77.03364400000001</v>
      </c>
      <c r="F74" t="s">
        <v>9</v>
      </c>
      <c r="G74" t="s">
        <v>12</v>
      </c>
      <c r="H74" t="s">
        <v>10</v>
      </c>
      <c r="I74" t="s">
        <v>11</v>
      </c>
      <c r="J74">
        <f t="shared" si="17"/>
        <v>4</v>
      </c>
      <c r="K74">
        <f t="shared" si="18"/>
        <v>2</v>
      </c>
      <c r="L74">
        <f t="shared" si="19"/>
        <v>1</v>
      </c>
      <c r="M74">
        <f t="shared" si="20"/>
        <v>3</v>
      </c>
      <c r="N74">
        <f t="shared" ca="1" si="9"/>
        <v>355</v>
      </c>
      <c r="O74">
        <f t="shared" ca="1" si="10"/>
        <v>191</v>
      </c>
      <c r="P74">
        <f t="shared" ca="1" si="11"/>
        <v>126</v>
      </c>
      <c r="Q74">
        <f t="shared" ca="1" si="12"/>
        <v>326</v>
      </c>
    </row>
    <row r="75" spans="1:17" x14ac:dyDescent="0.25">
      <c r="A75" t="s">
        <v>111</v>
      </c>
      <c r="B75" t="s">
        <v>39</v>
      </c>
      <c r="C75">
        <v>173001</v>
      </c>
      <c r="D75" s="1">
        <v>30.559989999999999</v>
      </c>
      <c r="E75" s="1">
        <v>77.292754000000002</v>
      </c>
      <c r="F75" t="s">
        <v>9</v>
      </c>
      <c r="G75" t="s">
        <v>12</v>
      </c>
      <c r="H75" t="s">
        <v>10</v>
      </c>
      <c r="I75" t="s">
        <v>11</v>
      </c>
      <c r="J75">
        <f t="shared" si="17"/>
        <v>4</v>
      </c>
      <c r="K75">
        <f t="shared" si="18"/>
        <v>2</v>
      </c>
      <c r="L75">
        <f t="shared" si="19"/>
        <v>1</v>
      </c>
      <c r="M75">
        <f t="shared" si="20"/>
        <v>3</v>
      </c>
      <c r="N75">
        <f t="shared" ca="1" si="9"/>
        <v>450</v>
      </c>
      <c r="O75">
        <f t="shared" ca="1" si="10"/>
        <v>185</v>
      </c>
      <c r="P75">
        <f t="shared" ca="1" si="11"/>
        <v>105</v>
      </c>
      <c r="Q75">
        <f t="shared" ca="1" si="12"/>
        <v>296</v>
      </c>
    </row>
    <row r="76" spans="1:17" x14ac:dyDescent="0.25">
      <c r="A76" t="s">
        <v>112</v>
      </c>
      <c r="B76" t="s">
        <v>68</v>
      </c>
      <c r="C76">
        <v>248001</v>
      </c>
      <c r="D76" s="1">
        <v>30.348840297294103</v>
      </c>
      <c r="E76" s="1">
        <v>78.073990283314799</v>
      </c>
      <c r="F76" t="s">
        <v>9</v>
      </c>
      <c r="G76" t="s">
        <v>10</v>
      </c>
      <c r="H76" t="s">
        <v>11</v>
      </c>
      <c r="I76" t="s">
        <v>12</v>
      </c>
      <c r="J76">
        <f t="shared" si="17"/>
        <v>4</v>
      </c>
      <c r="K76">
        <f t="shared" si="18"/>
        <v>3</v>
      </c>
      <c r="L76">
        <f t="shared" si="19"/>
        <v>2</v>
      </c>
      <c r="M76">
        <f t="shared" si="20"/>
        <v>1</v>
      </c>
      <c r="N76">
        <f t="shared" ca="1" si="9"/>
        <v>439</v>
      </c>
      <c r="O76">
        <f t="shared" ca="1" si="10"/>
        <v>292</v>
      </c>
      <c r="P76">
        <f t="shared" ca="1" si="11"/>
        <v>181</v>
      </c>
      <c r="Q76">
        <f t="shared" ca="1" si="12"/>
        <v>117</v>
      </c>
    </row>
    <row r="77" spans="1:17" x14ac:dyDescent="0.25">
      <c r="A77" t="s">
        <v>113</v>
      </c>
      <c r="B77" t="s">
        <v>37</v>
      </c>
      <c r="C77">
        <v>700089</v>
      </c>
      <c r="D77" s="1">
        <v>22.484352000000001</v>
      </c>
      <c r="E77" s="1">
        <v>88.261012000000008</v>
      </c>
      <c r="F77" t="s">
        <v>9</v>
      </c>
      <c r="G77" t="s">
        <v>12</v>
      </c>
      <c r="H77" t="s">
        <v>11</v>
      </c>
      <c r="I77" t="s">
        <v>10</v>
      </c>
      <c r="J77">
        <f t="shared" si="17"/>
        <v>4</v>
      </c>
      <c r="K77">
        <f t="shared" si="18"/>
        <v>1</v>
      </c>
      <c r="L77">
        <f t="shared" si="19"/>
        <v>2</v>
      </c>
      <c r="M77">
        <f t="shared" si="20"/>
        <v>3</v>
      </c>
      <c r="N77">
        <f t="shared" ca="1" si="9"/>
        <v>367</v>
      </c>
      <c r="O77">
        <f t="shared" ca="1" si="10"/>
        <v>105</v>
      </c>
      <c r="P77">
        <f t="shared" ca="1" si="11"/>
        <v>206</v>
      </c>
      <c r="Q77">
        <f t="shared" ca="1" si="12"/>
        <v>256</v>
      </c>
    </row>
    <row r="78" spans="1:17" x14ac:dyDescent="0.25">
      <c r="A78" t="s">
        <v>114</v>
      </c>
      <c r="B78" t="s">
        <v>28</v>
      </c>
      <c r="C78">
        <v>226013</v>
      </c>
      <c r="D78" s="1">
        <v>26.938818176287597</v>
      </c>
      <c r="E78" s="1">
        <v>80.901969578694789</v>
      </c>
      <c r="F78" t="s">
        <v>10</v>
      </c>
      <c r="G78" t="s">
        <v>11</v>
      </c>
      <c r="H78" t="s">
        <v>12</v>
      </c>
      <c r="I78" t="s">
        <v>9</v>
      </c>
      <c r="J78">
        <f t="shared" si="17"/>
        <v>1</v>
      </c>
      <c r="K78">
        <f t="shared" si="18"/>
        <v>4</v>
      </c>
      <c r="L78">
        <f t="shared" si="19"/>
        <v>3</v>
      </c>
      <c r="M78">
        <f t="shared" si="20"/>
        <v>2</v>
      </c>
      <c r="N78">
        <f t="shared" ca="1" si="9"/>
        <v>147</v>
      </c>
      <c r="O78">
        <f t="shared" ca="1" si="10"/>
        <v>401</v>
      </c>
      <c r="P78">
        <f t="shared" ca="1" si="11"/>
        <v>278</v>
      </c>
      <c r="Q78">
        <f t="shared" ca="1" si="12"/>
        <v>201</v>
      </c>
    </row>
    <row r="79" spans="1:17" x14ac:dyDescent="0.25">
      <c r="A79" t="s">
        <v>115</v>
      </c>
      <c r="B79" t="s">
        <v>116</v>
      </c>
      <c r="C79">
        <v>226013</v>
      </c>
      <c r="D79" s="1">
        <v>26.936083399999998</v>
      </c>
      <c r="E79" s="1">
        <v>80.900780999999995</v>
      </c>
      <c r="F79" t="s">
        <v>9</v>
      </c>
      <c r="G79" t="s">
        <v>10</v>
      </c>
      <c r="H79" t="s">
        <v>11</v>
      </c>
      <c r="I79" t="s">
        <v>12</v>
      </c>
      <c r="J79">
        <f t="shared" si="17"/>
        <v>4</v>
      </c>
      <c r="K79">
        <f t="shared" si="18"/>
        <v>3</v>
      </c>
      <c r="L79">
        <f t="shared" si="19"/>
        <v>2</v>
      </c>
      <c r="M79">
        <f t="shared" si="20"/>
        <v>1</v>
      </c>
      <c r="N79">
        <f t="shared" ca="1" si="9"/>
        <v>413</v>
      </c>
      <c r="O79">
        <f t="shared" ca="1" si="10"/>
        <v>305</v>
      </c>
      <c r="P79">
        <f t="shared" ca="1" si="11"/>
        <v>249</v>
      </c>
      <c r="Q79">
        <f t="shared" ca="1" si="12"/>
        <v>51</v>
      </c>
    </row>
    <row r="80" spans="1:17" x14ac:dyDescent="0.25">
      <c r="A80" t="s">
        <v>117</v>
      </c>
      <c r="B80" t="s">
        <v>28</v>
      </c>
      <c r="C80">
        <v>226013</v>
      </c>
      <c r="D80" s="1">
        <v>27.000637000000001</v>
      </c>
      <c r="E80" s="1">
        <v>80.000801999999993</v>
      </c>
      <c r="F80" t="s">
        <v>10</v>
      </c>
      <c r="G80" t="s">
        <v>11</v>
      </c>
      <c r="H80" t="s">
        <v>12</v>
      </c>
      <c r="I80" t="s">
        <v>9</v>
      </c>
      <c r="J80">
        <f t="shared" si="17"/>
        <v>1</v>
      </c>
      <c r="K80">
        <f t="shared" si="18"/>
        <v>4</v>
      </c>
      <c r="L80">
        <f t="shared" si="19"/>
        <v>3</v>
      </c>
      <c r="M80">
        <f t="shared" si="20"/>
        <v>2</v>
      </c>
      <c r="N80">
        <f t="shared" ca="1" si="9"/>
        <v>91</v>
      </c>
      <c r="O80">
        <f t="shared" ca="1" si="10"/>
        <v>420</v>
      </c>
      <c r="P80">
        <f t="shared" ca="1" si="11"/>
        <v>260</v>
      </c>
      <c r="Q80">
        <f t="shared" ca="1" si="12"/>
        <v>249</v>
      </c>
    </row>
    <row r="81" spans="1:17" x14ac:dyDescent="0.25">
      <c r="A81" t="s">
        <v>118</v>
      </c>
      <c r="B81" t="s">
        <v>28</v>
      </c>
      <c r="C81">
        <v>226020</v>
      </c>
      <c r="D81" s="1">
        <v>26.891525999900001</v>
      </c>
      <c r="E81" s="1">
        <v>80.927463000000003</v>
      </c>
      <c r="F81" t="s">
        <v>9</v>
      </c>
      <c r="G81" t="s">
        <v>10</v>
      </c>
      <c r="H81" t="s">
        <v>11</v>
      </c>
      <c r="I81" t="s">
        <v>12</v>
      </c>
      <c r="J81">
        <f t="shared" si="17"/>
        <v>4</v>
      </c>
      <c r="K81">
        <f t="shared" si="18"/>
        <v>3</v>
      </c>
      <c r="L81">
        <f t="shared" si="19"/>
        <v>2</v>
      </c>
      <c r="M81">
        <f t="shared" si="20"/>
        <v>1</v>
      </c>
      <c r="N81">
        <f t="shared" ca="1" si="9"/>
        <v>353</v>
      </c>
      <c r="O81">
        <f t="shared" ca="1" si="10"/>
        <v>307</v>
      </c>
      <c r="P81">
        <f t="shared" ca="1" si="11"/>
        <v>196</v>
      </c>
      <c r="Q81">
        <f t="shared" ca="1" si="12"/>
        <v>69</v>
      </c>
    </row>
    <row r="82" spans="1:17" x14ac:dyDescent="0.25">
      <c r="A82" t="s">
        <v>119</v>
      </c>
      <c r="B82" t="s">
        <v>58</v>
      </c>
      <c r="C82">
        <v>500011</v>
      </c>
      <c r="D82" s="1">
        <v>17.464012200000003</v>
      </c>
      <c r="E82" s="1">
        <v>78.482294600000003</v>
      </c>
      <c r="F82" t="s">
        <v>10</v>
      </c>
      <c r="G82" t="s">
        <v>11</v>
      </c>
      <c r="H82" t="s">
        <v>9</v>
      </c>
      <c r="I82" t="s">
        <v>12</v>
      </c>
      <c r="J82">
        <f t="shared" si="17"/>
        <v>2</v>
      </c>
      <c r="K82">
        <f t="shared" si="18"/>
        <v>4</v>
      </c>
      <c r="L82">
        <f t="shared" si="19"/>
        <v>3</v>
      </c>
      <c r="M82">
        <f t="shared" si="20"/>
        <v>1</v>
      </c>
      <c r="N82">
        <f t="shared" ca="1" si="9"/>
        <v>201</v>
      </c>
      <c r="O82">
        <f t="shared" ca="1" si="10"/>
        <v>444</v>
      </c>
      <c r="P82">
        <f t="shared" ca="1" si="11"/>
        <v>296</v>
      </c>
      <c r="Q82">
        <f t="shared" ca="1" si="12"/>
        <v>80</v>
      </c>
    </row>
    <row r="83" spans="1:17" x14ac:dyDescent="0.25">
      <c r="A83" t="s">
        <v>120</v>
      </c>
      <c r="B83" t="s">
        <v>58</v>
      </c>
      <c r="C83">
        <v>500035</v>
      </c>
      <c r="D83" s="1">
        <v>17.381400999999997</v>
      </c>
      <c r="E83" s="1">
        <v>78.543609000000004</v>
      </c>
      <c r="F83" t="s">
        <v>9</v>
      </c>
      <c r="G83" t="s">
        <v>10</v>
      </c>
      <c r="H83" t="s">
        <v>11</v>
      </c>
      <c r="I83" t="s">
        <v>12</v>
      </c>
      <c r="J83">
        <f t="shared" si="17"/>
        <v>4</v>
      </c>
      <c r="K83">
        <f t="shared" si="18"/>
        <v>3</v>
      </c>
      <c r="L83">
        <f t="shared" si="19"/>
        <v>2</v>
      </c>
      <c r="M83">
        <f t="shared" si="20"/>
        <v>1</v>
      </c>
      <c r="N83">
        <f t="shared" ca="1" si="9"/>
        <v>395</v>
      </c>
      <c r="O83">
        <f t="shared" ca="1" si="10"/>
        <v>272</v>
      </c>
      <c r="P83">
        <f t="shared" ca="1" si="11"/>
        <v>167</v>
      </c>
      <c r="Q83">
        <f t="shared" ca="1" si="12"/>
        <v>66</v>
      </c>
    </row>
    <row r="84" spans="1:17" x14ac:dyDescent="0.25">
      <c r="A84" t="s">
        <v>121</v>
      </c>
      <c r="B84" t="s">
        <v>68</v>
      </c>
      <c r="C84">
        <v>263139</v>
      </c>
      <c r="D84" s="1">
        <v>29.187840983734702</v>
      </c>
      <c r="E84" s="1">
        <v>79.520271837539298</v>
      </c>
      <c r="F84" t="s">
        <v>9</v>
      </c>
      <c r="G84" t="s">
        <v>10</v>
      </c>
      <c r="H84" t="s">
        <v>12</v>
      </c>
      <c r="I84" t="s">
        <v>11</v>
      </c>
      <c r="J84">
        <f t="shared" si="17"/>
        <v>4</v>
      </c>
      <c r="K84">
        <f t="shared" si="18"/>
        <v>3</v>
      </c>
      <c r="L84">
        <f t="shared" si="19"/>
        <v>1</v>
      </c>
      <c r="M84">
        <f t="shared" si="20"/>
        <v>2</v>
      </c>
      <c r="N84">
        <f t="shared" ca="1" si="9"/>
        <v>439</v>
      </c>
      <c r="O84">
        <f t="shared" ca="1" si="10"/>
        <v>278</v>
      </c>
      <c r="P84">
        <f t="shared" ca="1" si="11"/>
        <v>118</v>
      </c>
      <c r="Q84">
        <f t="shared" ca="1" si="12"/>
        <v>215</v>
      </c>
    </row>
    <row r="85" spans="1:17" x14ac:dyDescent="0.25">
      <c r="A85" t="s">
        <v>122</v>
      </c>
      <c r="B85" t="s">
        <v>28</v>
      </c>
      <c r="C85">
        <v>201014</v>
      </c>
      <c r="D85" s="1">
        <v>28.637966876</v>
      </c>
      <c r="E85" s="1">
        <v>77.367930377799993</v>
      </c>
      <c r="F85" t="s">
        <v>12</v>
      </c>
      <c r="G85" t="s">
        <v>9</v>
      </c>
      <c r="H85" t="s">
        <v>11</v>
      </c>
      <c r="I85" t="s">
        <v>10</v>
      </c>
      <c r="J85">
        <f t="shared" si="17"/>
        <v>3</v>
      </c>
      <c r="K85">
        <f t="shared" si="18"/>
        <v>1</v>
      </c>
      <c r="L85">
        <f t="shared" si="19"/>
        <v>2</v>
      </c>
      <c r="M85">
        <f t="shared" si="20"/>
        <v>4</v>
      </c>
      <c r="N85">
        <f t="shared" ca="1" si="9"/>
        <v>331</v>
      </c>
      <c r="O85">
        <f t="shared" ca="1" si="10"/>
        <v>130</v>
      </c>
      <c r="P85">
        <f t="shared" ca="1" si="11"/>
        <v>169</v>
      </c>
      <c r="Q85">
        <f t="shared" ca="1" si="12"/>
        <v>394</v>
      </c>
    </row>
    <row r="86" spans="1:17" x14ac:dyDescent="0.25">
      <c r="A86" t="s">
        <v>123</v>
      </c>
      <c r="B86" t="s">
        <v>124</v>
      </c>
      <c r="C86">
        <v>492015</v>
      </c>
      <c r="D86" s="1">
        <v>21.250056000000001</v>
      </c>
      <c r="E86" s="1">
        <v>81.630226000000008</v>
      </c>
      <c r="F86" t="s">
        <v>9</v>
      </c>
      <c r="G86" t="s">
        <v>12</v>
      </c>
      <c r="H86" t="s">
        <v>10</v>
      </c>
      <c r="I86" t="s">
        <v>11</v>
      </c>
      <c r="J86">
        <f t="shared" si="17"/>
        <v>4</v>
      </c>
      <c r="K86">
        <f t="shared" si="18"/>
        <v>2</v>
      </c>
      <c r="L86">
        <f t="shared" si="19"/>
        <v>1</v>
      </c>
      <c r="M86">
        <f t="shared" si="20"/>
        <v>3</v>
      </c>
      <c r="N86">
        <f t="shared" ca="1" si="9"/>
        <v>398</v>
      </c>
      <c r="O86">
        <f t="shared" ca="1" si="10"/>
        <v>173</v>
      </c>
      <c r="P86">
        <f t="shared" ca="1" si="11"/>
        <v>94</v>
      </c>
      <c r="Q86">
        <f t="shared" ca="1" si="12"/>
        <v>281</v>
      </c>
    </row>
    <row r="87" spans="1:17" x14ac:dyDescent="0.25">
      <c r="A87" t="s">
        <v>125</v>
      </c>
      <c r="B87" t="s">
        <v>24</v>
      </c>
      <c r="C87">
        <v>431005</v>
      </c>
      <c r="D87" s="1">
        <v>19.865895000000002</v>
      </c>
      <c r="E87" s="1">
        <v>75.368881999999999</v>
      </c>
      <c r="F87" t="s">
        <v>9</v>
      </c>
      <c r="G87" t="s">
        <v>10</v>
      </c>
      <c r="H87" t="s">
        <v>12</v>
      </c>
      <c r="I87" t="s">
        <v>11</v>
      </c>
      <c r="J87">
        <f t="shared" si="17"/>
        <v>4</v>
      </c>
      <c r="K87">
        <f t="shared" si="18"/>
        <v>3</v>
      </c>
      <c r="L87">
        <f t="shared" si="19"/>
        <v>1</v>
      </c>
      <c r="M87">
        <f t="shared" si="20"/>
        <v>2</v>
      </c>
      <c r="N87">
        <f t="shared" ca="1" si="9"/>
        <v>412</v>
      </c>
      <c r="O87">
        <f t="shared" ca="1" si="10"/>
        <v>345</v>
      </c>
      <c r="P87">
        <f t="shared" ca="1" si="11"/>
        <v>85</v>
      </c>
      <c r="Q87">
        <f t="shared" ca="1" si="12"/>
        <v>209</v>
      </c>
    </row>
    <row r="88" spans="1:17" x14ac:dyDescent="0.25">
      <c r="A88" t="s">
        <v>126</v>
      </c>
      <c r="B88" t="s">
        <v>28</v>
      </c>
      <c r="C88">
        <v>201310</v>
      </c>
      <c r="D88" s="1">
        <v>28.449867999999999</v>
      </c>
      <c r="E88" s="1">
        <v>77.510989999999993</v>
      </c>
      <c r="F88" t="s">
        <v>12</v>
      </c>
      <c r="G88" t="s">
        <v>10</v>
      </c>
      <c r="H88" t="s">
        <v>9</v>
      </c>
      <c r="I88" t="s">
        <v>11</v>
      </c>
      <c r="J88">
        <f t="shared" si="17"/>
        <v>2</v>
      </c>
      <c r="K88">
        <f t="shared" si="18"/>
        <v>3</v>
      </c>
      <c r="L88">
        <f t="shared" si="19"/>
        <v>1</v>
      </c>
      <c r="M88">
        <f t="shared" si="20"/>
        <v>4</v>
      </c>
      <c r="N88">
        <f t="shared" ref="N88:N102" ca="1" si="21">IF(J88=4,RANDBETWEEN(350,450),IF(J88=3,RANDBETWEEN(250,350),IF(J88=2,RANDBETWEEN(150,250), RANDBETWEEN(50,150))))</f>
        <v>233</v>
      </c>
      <c r="O88">
        <f t="shared" ref="O88:O102" ca="1" si="22">IF(K88=4,RANDBETWEEN(350,450),IF(K88=3,RANDBETWEEN(250,350),IF(K88=2,RANDBETWEEN(150,250), RANDBETWEEN(50,150))))</f>
        <v>289</v>
      </c>
      <c r="P88">
        <f t="shared" ref="P88:P102" ca="1" si="23">IF(L88=4,RANDBETWEEN(350,450),IF(L88=3,RANDBETWEEN(250,350),IF(L88=2,RANDBETWEEN(150,250), RANDBETWEEN(50,150))))</f>
        <v>76</v>
      </c>
      <c r="Q88">
        <f t="shared" ref="Q88:Q102" ca="1" si="24">IF(M88=4,RANDBETWEEN(350,450),IF(M88=3,RANDBETWEEN(250,350),IF(M88=2,RANDBETWEEN(150,250), RANDBETWEEN(50,150))))</f>
        <v>436</v>
      </c>
    </row>
    <row r="89" spans="1:17" x14ac:dyDescent="0.25">
      <c r="A89" t="s">
        <v>127</v>
      </c>
      <c r="B89" t="s">
        <v>28</v>
      </c>
      <c r="C89">
        <v>250001</v>
      </c>
      <c r="D89" s="1">
        <v>28.985104</v>
      </c>
      <c r="E89" s="1">
        <v>77.706629000000007</v>
      </c>
      <c r="F89" t="s">
        <v>12</v>
      </c>
      <c r="G89" t="s">
        <v>9</v>
      </c>
      <c r="H89" t="s">
        <v>11</v>
      </c>
      <c r="I89" t="s">
        <v>10</v>
      </c>
      <c r="J89">
        <f t="shared" si="17"/>
        <v>3</v>
      </c>
      <c r="K89">
        <f t="shared" si="18"/>
        <v>1</v>
      </c>
      <c r="L89">
        <f t="shared" si="19"/>
        <v>2</v>
      </c>
      <c r="M89">
        <f t="shared" si="20"/>
        <v>4</v>
      </c>
      <c r="N89">
        <f t="shared" ca="1" si="21"/>
        <v>265</v>
      </c>
      <c r="O89">
        <f t="shared" ca="1" si="22"/>
        <v>146</v>
      </c>
      <c r="P89">
        <f t="shared" ca="1" si="23"/>
        <v>159</v>
      </c>
      <c r="Q89">
        <f t="shared" ca="1" si="24"/>
        <v>365</v>
      </c>
    </row>
    <row r="90" spans="1:17" x14ac:dyDescent="0.25">
      <c r="A90" t="s">
        <v>128</v>
      </c>
      <c r="B90" t="s">
        <v>75</v>
      </c>
      <c r="C90">
        <v>110017</v>
      </c>
      <c r="D90" s="1">
        <v>28.525195</v>
      </c>
      <c r="E90" s="1">
        <v>77.206958</v>
      </c>
      <c r="F90" t="s">
        <v>11</v>
      </c>
      <c r="G90" t="s">
        <v>10</v>
      </c>
      <c r="H90" t="s">
        <v>9</v>
      </c>
      <c r="I90" t="s">
        <v>12</v>
      </c>
      <c r="J90">
        <f t="shared" si="17"/>
        <v>2</v>
      </c>
      <c r="K90">
        <f t="shared" si="18"/>
        <v>3</v>
      </c>
      <c r="L90">
        <f t="shared" si="19"/>
        <v>4</v>
      </c>
      <c r="M90">
        <f t="shared" si="20"/>
        <v>1</v>
      </c>
      <c r="N90">
        <f t="shared" ca="1" si="21"/>
        <v>206</v>
      </c>
      <c r="O90">
        <f t="shared" ca="1" si="22"/>
        <v>307</v>
      </c>
      <c r="P90">
        <f t="shared" ca="1" si="23"/>
        <v>403</v>
      </c>
      <c r="Q90">
        <f t="shared" ca="1" si="24"/>
        <v>120</v>
      </c>
    </row>
    <row r="91" spans="1:17" x14ac:dyDescent="0.25">
      <c r="A91" t="s">
        <v>129</v>
      </c>
      <c r="B91" t="s">
        <v>28</v>
      </c>
      <c r="C91">
        <v>226013</v>
      </c>
      <c r="D91" s="1">
        <v>26.935981999999999</v>
      </c>
      <c r="E91" s="1">
        <v>80.893802999999991</v>
      </c>
      <c r="F91" t="s">
        <v>12</v>
      </c>
      <c r="G91" t="s">
        <v>11</v>
      </c>
      <c r="H91" t="s">
        <v>9</v>
      </c>
      <c r="I91" t="s">
        <v>10</v>
      </c>
      <c r="J91">
        <f t="shared" si="17"/>
        <v>2</v>
      </c>
      <c r="K91">
        <f t="shared" si="18"/>
        <v>1</v>
      </c>
      <c r="L91">
        <f t="shared" si="19"/>
        <v>3</v>
      </c>
      <c r="M91">
        <f t="shared" si="20"/>
        <v>4</v>
      </c>
      <c r="N91">
        <f t="shared" ca="1" si="21"/>
        <v>242</v>
      </c>
      <c r="O91">
        <f t="shared" ca="1" si="22"/>
        <v>61</v>
      </c>
      <c r="P91">
        <f t="shared" ca="1" si="23"/>
        <v>328</v>
      </c>
      <c r="Q91">
        <f t="shared" ca="1" si="24"/>
        <v>401</v>
      </c>
    </row>
    <row r="92" spans="1:17" x14ac:dyDescent="0.25">
      <c r="A92" t="s">
        <v>130</v>
      </c>
      <c r="B92" t="s">
        <v>131</v>
      </c>
      <c r="C92">
        <v>110084</v>
      </c>
      <c r="D92" s="1">
        <v>28.739826000000001</v>
      </c>
      <c r="E92" s="1">
        <v>77.194305</v>
      </c>
      <c r="F92" t="s">
        <v>9</v>
      </c>
      <c r="G92" t="s">
        <v>10</v>
      </c>
      <c r="H92" t="s">
        <v>12</v>
      </c>
      <c r="I92" t="s">
        <v>11</v>
      </c>
      <c r="J92">
        <f t="shared" si="17"/>
        <v>4</v>
      </c>
      <c r="K92">
        <f t="shared" si="18"/>
        <v>3</v>
      </c>
      <c r="L92">
        <f t="shared" si="19"/>
        <v>1</v>
      </c>
      <c r="M92">
        <f t="shared" si="20"/>
        <v>2</v>
      </c>
      <c r="N92">
        <f t="shared" ca="1" si="21"/>
        <v>376</v>
      </c>
      <c r="O92">
        <f t="shared" ca="1" si="22"/>
        <v>258</v>
      </c>
      <c r="P92">
        <f t="shared" ca="1" si="23"/>
        <v>108</v>
      </c>
      <c r="Q92">
        <f t="shared" ca="1" si="24"/>
        <v>210</v>
      </c>
    </row>
    <row r="93" spans="1:17" x14ac:dyDescent="0.25">
      <c r="A93" t="s">
        <v>132</v>
      </c>
      <c r="B93" t="s">
        <v>16</v>
      </c>
      <c r="C93">
        <v>305404</v>
      </c>
      <c r="D93" s="1">
        <v>25.975451</v>
      </c>
      <c r="E93" s="1">
        <v>75.153740999999997</v>
      </c>
      <c r="F93" t="s">
        <v>9</v>
      </c>
      <c r="G93" t="s">
        <v>12</v>
      </c>
      <c r="H93" t="s">
        <v>10</v>
      </c>
      <c r="I93" t="s">
        <v>11</v>
      </c>
      <c r="J93">
        <f t="shared" si="17"/>
        <v>4</v>
      </c>
      <c r="K93">
        <f t="shared" si="18"/>
        <v>2</v>
      </c>
      <c r="L93">
        <f t="shared" si="19"/>
        <v>1</v>
      </c>
      <c r="M93">
        <f t="shared" si="20"/>
        <v>3</v>
      </c>
      <c r="N93">
        <f t="shared" ca="1" si="21"/>
        <v>373</v>
      </c>
      <c r="O93">
        <f t="shared" ca="1" si="22"/>
        <v>195</v>
      </c>
      <c r="P93">
        <f t="shared" ca="1" si="23"/>
        <v>50</v>
      </c>
      <c r="Q93">
        <f t="shared" ca="1" si="24"/>
        <v>321</v>
      </c>
    </row>
    <row r="94" spans="1:17" x14ac:dyDescent="0.25">
      <c r="A94" t="s">
        <v>133</v>
      </c>
      <c r="B94" t="s">
        <v>28</v>
      </c>
      <c r="C94">
        <v>273001</v>
      </c>
      <c r="D94" s="1">
        <v>27.000430000000001</v>
      </c>
      <c r="E94" s="1">
        <v>83.000693999999996</v>
      </c>
      <c r="F94" t="s">
        <v>9</v>
      </c>
      <c r="G94" t="s">
        <v>12</v>
      </c>
      <c r="H94" t="s">
        <v>10</v>
      </c>
      <c r="I94" t="s">
        <v>11</v>
      </c>
      <c r="J94">
        <f t="shared" si="17"/>
        <v>4</v>
      </c>
      <c r="K94">
        <f t="shared" si="18"/>
        <v>2</v>
      </c>
      <c r="L94">
        <f t="shared" si="19"/>
        <v>1</v>
      </c>
      <c r="M94">
        <f t="shared" si="20"/>
        <v>3</v>
      </c>
      <c r="N94">
        <f t="shared" ca="1" si="21"/>
        <v>437</v>
      </c>
      <c r="O94">
        <f t="shared" ca="1" si="22"/>
        <v>249</v>
      </c>
      <c r="P94">
        <f t="shared" ca="1" si="23"/>
        <v>150</v>
      </c>
      <c r="Q94">
        <f t="shared" ca="1" si="24"/>
        <v>291</v>
      </c>
    </row>
    <row r="95" spans="1:17" x14ac:dyDescent="0.25">
      <c r="A95" t="s">
        <v>134</v>
      </c>
      <c r="B95" t="s">
        <v>24</v>
      </c>
      <c r="C95">
        <v>422215</v>
      </c>
      <c r="D95" s="1">
        <v>20.331884335700003</v>
      </c>
      <c r="E95" s="1">
        <v>73.894939555000008</v>
      </c>
      <c r="F95" t="s">
        <v>12</v>
      </c>
      <c r="G95" t="s">
        <v>10</v>
      </c>
      <c r="H95" t="s">
        <v>9</v>
      </c>
      <c r="I95" t="s">
        <v>11</v>
      </c>
      <c r="J95">
        <f t="shared" si="17"/>
        <v>2</v>
      </c>
      <c r="K95">
        <f t="shared" si="18"/>
        <v>3</v>
      </c>
      <c r="L95">
        <f t="shared" si="19"/>
        <v>1</v>
      </c>
      <c r="M95">
        <f t="shared" si="20"/>
        <v>4</v>
      </c>
      <c r="N95">
        <f t="shared" ca="1" si="21"/>
        <v>221</v>
      </c>
      <c r="O95">
        <f t="shared" ca="1" si="22"/>
        <v>340</v>
      </c>
      <c r="P95">
        <f t="shared" ca="1" si="23"/>
        <v>128</v>
      </c>
      <c r="Q95">
        <f t="shared" ca="1" si="24"/>
        <v>397</v>
      </c>
    </row>
    <row r="96" spans="1:17" x14ac:dyDescent="0.25">
      <c r="A96" t="s">
        <v>135</v>
      </c>
      <c r="B96" t="s">
        <v>136</v>
      </c>
      <c r="C96">
        <v>854318</v>
      </c>
      <c r="D96" s="1">
        <v>26.304580000000001</v>
      </c>
      <c r="E96" s="1">
        <v>87.263205999999997</v>
      </c>
      <c r="F96" t="s">
        <v>12</v>
      </c>
      <c r="G96" t="s">
        <v>9</v>
      </c>
      <c r="H96" t="s">
        <v>11</v>
      </c>
      <c r="I96" t="s">
        <v>10</v>
      </c>
      <c r="J96">
        <f t="shared" si="17"/>
        <v>3</v>
      </c>
      <c r="K96">
        <f t="shared" si="18"/>
        <v>1</v>
      </c>
      <c r="L96">
        <f t="shared" si="19"/>
        <v>2</v>
      </c>
      <c r="M96">
        <f t="shared" si="20"/>
        <v>4</v>
      </c>
      <c r="N96">
        <f t="shared" ca="1" si="21"/>
        <v>295</v>
      </c>
      <c r="O96">
        <f t="shared" ca="1" si="22"/>
        <v>109</v>
      </c>
      <c r="P96">
        <f t="shared" ca="1" si="23"/>
        <v>243</v>
      </c>
      <c r="Q96">
        <f t="shared" ca="1" si="24"/>
        <v>368</v>
      </c>
    </row>
    <row r="97" spans="1:17" x14ac:dyDescent="0.25">
      <c r="A97" t="s">
        <v>137</v>
      </c>
      <c r="B97" t="s">
        <v>22</v>
      </c>
      <c r="C97">
        <v>141001</v>
      </c>
      <c r="D97" s="1">
        <v>30.912998999999999</v>
      </c>
      <c r="E97" s="1">
        <v>75.806646000000001</v>
      </c>
      <c r="F97" t="s">
        <v>9</v>
      </c>
      <c r="G97" t="s">
        <v>10</v>
      </c>
      <c r="H97" t="s">
        <v>12</v>
      </c>
      <c r="I97" t="s">
        <v>11</v>
      </c>
      <c r="J97">
        <f t="shared" si="17"/>
        <v>4</v>
      </c>
      <c r="K97">
        <f t="shared" si="18"/>
        <v>3</v>
      </c>
      <c r="L97">
        <f t="shared" si="19"/>
        <v>1</v>
      </c>
      <c r="M97">
        <f t="shared" si="20"/>
        <v>2</v>
      </c>
      <c r="N97">
        <f t="shared" ca="1" si="21"/>
        <v>353</v>
      </c>
      <c r="O97">
        <f t="shared" ca="1" si="22"/>
        <v>266</v>
      </c>
      <c r="P97">
        <f t="shared" ca="1" si="23"/>
        <v>141</v>
      </c>
      <c r="Q97">
        <f t="shared" ca="1" si="24"/>
        <v>188</v>
      </c>
    </row>
    <row r="98" spans="1:17" x14ac:dyDescent="0.25">
      <c r="A98" t="s">
        <v>138</v>
      </c>
      <c r="B98" t="s">
        <v>24</v>
      </c>
      <c r="C98">
        <v>431136</v>
      </c>
      <c r="D98" s="1">
        <v>19.901184999999998</v>
      </c>
      <c r="E98" s="1">
        <v>75.352921000000009</v>
      </c>
      <c r="F98" t="s">
        <v>9</v>
      </c>
      <c r="G98" t="s">
        <v>10</v>
      </c>
      <c r="H98" t="s">
        <v>11</v>
      </c>
      <c r="I98" t="s">
        <v>12</v>
      </c>
      <c r="J98">
        <f t="shared" ref="J98:J102" si="25">IF(F98="Electronics",4,IF(G98="Electronics",3,IF(H98="Electronics",2,IF(I98="Electronics",1,0))))</f>
        <v>4</v>
      </c>
      <c r="K98">
        <f t="shared" si="18"/>
        <v>3</v>
      </c>
      <c r="L98">
        <f t="shared" si="19"/>
        <v>2</v>
      </c>
      <c r="M98">
        <f t="shared" si="20"/>
        <v>1</v>
      </c>
      <c r="N98">
        <f t="shared" ca="1" si="21"/>
        <v>394</v>
      </c>
      <c r="O98">
        <f t="shared" ca="1" si="22"/>
        <v>288</v>
      </c>
      <c r="P98">
        <f t="shared" ca="1" si="23"/>
        <v>200</v>
      </c>
      <c r="Q98">
        <f t="shared" ca="1" si="24"/>
        <v>113</v>
      </c>
    </row>
    <row r="99" spans="1:17" x14ac:dyDescent="0.25">
      <c r="A99" t="s">
        <v>139</v>
      </c>
      <c r="B99" t="s">
        <v>18</v>
      </c>
      <c r="C99">
        <v>587201</v>
      </c>
      <c r="D99" s="1">
        <v>15.5512000634</v>
      </c>
      <c r="E99" s="1">
        <v>75.404800094999999</v>
      </c>
      <c r="F99" t="s">
        <v>9</v>
      </c>
      <c r="G99" t="s">
        <v>10</v>
      </c>
      <c r="H99" t="s">
        <v>12</v>
      </c>
      <c r="I99" t="s">
        <v>11</v>
      </c>
      <c r="J99">
        <f t="shared" si="25"/>
        <v>4</v>
      </c>
      <c r="K99">
        <f t="shared" si="18"/>
        <v>3</v>
      </c>
      <c r="L99">
        <f t="shared" si="19"/>
        <v>1</v>
      </c>
      <c r="M99">
        <f t="shared" si="20"/>
        <v>2</v>
      </c>
      <c r="N99">
        <f t="shared" ca="1" si="21"/>
        <v>359</v>
      </c>
      <c r="O99">
        <f t="shared" ca="1" si="22"/>
        <v>250</v>
      </c>
      <c r="P99">
        <f t="shared" ca="1" si="23"/>
        <v>92</v>
      </c>
      <c r="Q99">
        <f t="shared" ca="1" si="24"/>
        <v>230</v>
      </c>
    </row>
    <row r="100" spans="1:17" x14ac:dyDescent="0.25">
      <c r="A100" t="s">
        <v>140</v>
      </c>
      <c r="B100" t="s">
        <v>53</v>
      </c>
      <c r="C100">
        <v>474011</v>
      </c>
      <c r="D100" s="1">
        <v>26.218484</v>
      </c>
      <c r="E100" s="1">
        <v>78.183067999999992</v>
      </c>
      <c r="F100" t="s">
        <v>10</v>
      </c>
      <c r="G100" t="s">
        <v>9</v>
      </c>
      <c r="H100" t="s">
        <v>11</v>
      </c>
      <c r="I100" t="s">
        <v>12</v>
      </c>
      <c r="J100">
        <f t="shared" si="25"/>
        <v>3</v>
      </c>
      <c r="K100">
        <f t="shared" si="18"/>
        <v>4</v>
      </c>
      <c r="L100">
        <f t="shared" si="19"/>
        <v>2</v>
      </c>
      <c r="M100">
        <f t="shared" si="20"/>
        <v>1</v>
      </c>
      <c r="N100">
        <f t="shared" ca="1" si="21"/>
        <v>250</v>
      </c>
      <c r="O100">
        <f t="shared" ca="1" si="22"/>
        <v>419</v>
      </c>
      <c r="P100">
        <f t="shared" ca="1" si="23"/>
        <v>191</v>
      </c>
      <c r="Q100">
        <f t="shared" ca="1" si="24"/>
        <v>127</v>
      </c>
    </row>
    <row r="101" spans="1:17" x14ac:dyDescent="0.25">
      <c r="A101" t="s">
        <v>141</v>
      </c>
      <c r="B101" t="s">
        <v>75</v>
      </c>
      <c r="C101">
        <v>110018</v>
      </c>
      <c r="D101" s="1">
        <v>28.635420787000001</v>
      </c>
      <c r="E101" s="1">
        <v>77.102812947000004</v>
      </c>
      <c r="F101" t="s">
        <v>12</v>
      </c>
      <c r="G101" t="s">
        <v>11</v>
      </c>
      <c r="H101" t="s">
        <v>9</v>
      </c>
      <c r="I101" t="s">
        <v>10</v>
      </c>
      <c r="J101">
        <f t="shared" si="25"/>
        <v>2</v>
      </c>
      <c r="K101">
        <f t="shared" si="18"/>
        <v>1</v>
      </c>
      <c r="L101">
        <f t="shared" si="19"/>
        <v>3</v>
      </c>
      <c r="M101">
        <f t="shared" si="20"/>
        <v>4</v>
      </c>
      <c r="N101">
        <f t="shared" ca="1" si="21"/>
        <v>170</v>
      </c>
      <c r="O101">
        <f t="shared" ca="1" si="22"/>
        <v>78</v>
      </c>
      <c r="P101">
        <f t="shared" ca="1" si="23"/>
        <v>319</v>
      </c>
      <c r="Q101">
        <f t="shared" ca="1" si="24"/>
        <v>367</v>
      </c>
    </row>
    <row r="102" spans="1:17" x14ac:dyDescent="0.25">
      <c r="A102" t="s">
        <v>142</v>
      </c>
      <c r="B102" t="s">
        <v>24</v>
      </c>
      <c r="C102">
        <v>400601</v>
      </c>
      <c r="D102" s="1">
        <v>19.209476906380598</v>
      </c>
      <c r="E102" s="1">
        <v>72.972289796105912</v>
      </c>
      <c r="F102" t="s">
        <v>9</v>
      </c>
      <c r="G102" t="s">
        <v>10</v>
      </c>
      <c r="H102" t="s">
        <v>11</v>
      </c>
      <c r="I102" t="s">
        <v>12</v>
      </c>
      <c r="J102">
        <f t="shared" si="25"/>
        <v>4</v>
      </c>
      <c r="K102">
        <f t="shared" si="18"/>
        <v>3</v>
      </c>
      <c r="L102">
        <f t="shared" si="19"/>
        <v>2</v>
      </c>
      <c r="M102">
        <f t="shared" si="20"/>
        <v>1</v>
      </c>
      <c r="N102">
        <f t="shared" ca="1" si="21"/>
        <v>419</v>
      </c>
      <c r="O102">
        <f t="shared" ca="1" si="22"/>
        <v>297</v>
      </c>
      <c r="P102">
        <f t="shared" ca="1" si="23"/>
        <v>235</v>
      </c>
      <c r="Q102">
        <f t="shared" ca="1" si="24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2021-08-30T03:54:51Z</dcterms:created>
  <dcterms:modified xsi:type="dcterms:W3CDTF">2021-11-24T03:59:00Z</dcterms:modified>
</cp:coreProperties>
</file>